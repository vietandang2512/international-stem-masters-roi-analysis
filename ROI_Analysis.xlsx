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" sheetId="1" state="visible" r:id="rId3"/>
    <sheet name="Tuition_Data" sheetId="2" state="visible" r:id="rId4"/>
    <sheet name="Salary_Data" sheetId="3" state="visible" r:id="rId5"/>
    <sheet name="ROI_Calculations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<sst xmlns="http://schemas.openxmlformats.org/spreadsheetml/2006/main" count="416" uniqueCount="171">
  <si>
    <t xml:space="preserve">ROI Analysis — Methodology</t>
  </si>
  <si>
    <t xml:space="preserve">Two metrics are computed for every program x occupation combination (60 programs x 2 occupations = 120 rows):</t>
  </si>
  <si>
    <t xml:space="preserve">1. PAYBACK PERIOD (years) — how long until the degree pays for itself</t>
  </si>
  <si>
    <t xml:space="preserve">   Basic payback      = Total tuition / Annual net salary</t>
  </si>
  <si>
    <t xml:space="preserve">   Realistic payback  = (Total tuition + Total living cost) / Annual net salary</t>
  </si>
  <si>
    <t xml:space="preserve">2. CUMULATIVE ROI (%) — percentage return by year N, using the realistic total investment</t>
  </si>
  <si>
    <t xml:space="preserve">   N-year ROI = ((N x Annual net salary) - (Total tuition + Total living cost)) / (Total tuition + Total living cost) x 100</t>
  </si>
  <si>
    <t xml:space="preserve">   Computed at N = 5 years and N = 10 years post-graduation.</t>
  </si>
  <si>
    <t xml:space="preserve">SUMMARY STATISTIC: Since each country has 10 sampled programs, the Summary sheet reports the</t>
  </si>
  <si>
    <t xml:space="preserve">MEDIAN across those 10 programs, plus the 25th-75th percentile (IQR) to show spread — not just a</t>
  </si>
  <si>
    <t xml:space="preserve">single country-level average, which would hide how much results vary by specific program.</t>
  </si>
  <si>
    <t xml:space="preserve">KEY ASSUMPTIONS / LIMITATIONS</t>
  </si>
  <si>
    <t xml:space="preserve">- Salary is held FLAT (no assumed raises) across the payback/ROI horizon. Real salaries typically</t>
  </si>
  <si>
    <t xml:space="preserve">  grow with experience, so payback periods here are conservative (slightly overstated) estimates.</t>
  </si>
  <si>
    <t xml:space="preserve">- Data Analyst and Data Scientist are shown as SEPARATE results, not blended, since they represent</t>
  </si>
  <si>
    <t xml:space="preserve">  different career paths with materially different pay.</t>
  </si>
  <si>
    <t xml:space="preserve">- Employment rate / probability of landing a job in-field is NOT incorporated (see Graduate_outcomes</t>
  </si>
  <si>
    <t xml:space="preserve">  notes — this variable was dropped due to inconsistent government data availability across countries).</t>
  </si>
  <si>
    <t xml:space="preserve">  Payback/ROI figures assume continuous employment in the target role from graduation onward.</t>
  </si>
  <si>
    <t xml:space="preserve">- Opportunity cost (forgone salary while studying) is NOT included in 'total investment'. This would</t>
  </si>
  <si>
    <t xml:space="preserve">  push payback periods later, especially for 2-year programs. Noted as a possible future extension.</t>
  </si>
  <si>
    <t xml:space="preserve">KNOWN DATA QUIRKS TO FLAG IN ANY WRITE-UP</t>
  </si>
  <si>
    <t xml:space="preserve">- GERMANY: 7 of 10 sampled programs have $0 tuition (a real, validated German policy — see</t>
  </si>
  <si>
    <t xml:space="preserve">  Master_Tuition_Table Validation_Notes). This makes Basic Payback ~0 years for Germany, since it</t>
  </si>
  <si>
    <t xml:space="preserve">  divides by near-zero tuition. This is mathematically correct, not an error, but it also means Basic</t>
  </si>
  <si>
    <t xml:space="preserve">  Payback is not a meaningful comparison metric for Germany — use Realistic Payback instead, which</t>
  </si>
  <si>
    <t xml:space="preserve">  incorporates living costs and gives a more interpretable ~0.6-0.7 year figure.</t>
  </si>
  <si>
    <t xml:space="preserve">- AUSTRALIA: Data Analyst and Data Scientist show IDENTICAL results. This is not a calculation bug —</t>
  </si>
  <si>
    <t xml:space="preserve">  it reflects a genuine limitation in the underlying salary data (SEEK Grad reports the same starting-</t>
  </si>
  <si>
    <t xml:space="preserve">  salary range for both roles at the graduate level; see Graduate_outcomes notes for Australia).</t>
  </si>
  <si>
    <t xml:space="preserve">SOURCES</t>
  </si>
  <si>
    <t xml:space="preserve">Tuition and living cost data: Master_Tuition_Table.xlsx (validated, see that file's Validation_Notes tab)</t>
  </si>
  <si>
    <t xml:space="preserve">Salary and tax data: Graduate_outcomes.xlsx (per-country source citations in that file)</t>
  </si>
  <si>
    <t xml:space="preserve">Country</t>
  </si>
  <si>
    <t xml:space="preserve">Program</t>
  </si>
  <si>
    <t xml:space="preserve">University</t>
  </si>
  <si>
    <t xml:space="preserve">Total tuition (USD)</t>
  </si>
  <si>
    <t xml:space="preserve">Duration (months)</t>
  </si>
  <si>
    <t xml:space="preserve">Total living cost (USD)</t>
  </si>
  <si>
    <t xml:space="preserve">Total direct cost (USD)</t>
  </si>
  <si>
    <t xml:space="preserve">United States</t>
  </si>
  <si>
    <t xml:space="preserve">Business Analytics</t>
  </si>
  <si>
    <t xml:space="preserve">MIT</t>
  </si>
  <si>
    <t xml:space="preserve">Statistics &amp; Data Science</t>
  </si>
  <si>
    <t xml:space="preserve">Stanford University</t>
  </si>
  <si>
    <t xml:space="preserve">Data Science</t>
  </si>
  <si>
    <t xml:space="preserve">Harvard University</t>
  </si>
  <si>
    <t xml:space="preserve">University of Pennsylvania</t>
  </si>
  <si>
    <t xml:space="preserve">Data Science &amp; Applied Statistics</t>
  </si>
  <si>
    <t xml:space="preserve">Cornell University</t>
  </si>
  <si>
    <t xml:space="preserve">Yale University</t>
  </si>
  <si>
    <t xml:space="preserve">Johns Hopkins University</t>
  </si>
  <si>
    <t xml:space="preserve">University of California, Berkeley</t>
  </si>
  <si>
    <t xml:space="preserve">Applied Data Science</t>
  </si>
  <si>
    <t xml:space="preserve">University of Chicago</t>
  </si>
  <si>
    <t xml:space="preserve">Columbia University</t>
  </si>
  <si>
    <t xml:space="preserve">United Kingdom</t>
  </si>
  <si>
    <t xml:space="preserve">MSc Statistics (Data Science and Machine Learning)</t>
  </si>
  <si>
    <t xml:space="preserve">Imperial College London</t>
  </si>
  <si>
    <t xml:space="preserve">MSc in Statistical Science</t>
  </si>
  <si>
    <t xml:space="preserve">University of Oxford</t>
  </si>
  <si>
    <t xml:space="preserve">MPhil in Data Intensive Science</t>
  </si>
  <si>
    <t xml:space="preserve">University of Cambridge</t>
  </si>
  <si>
    <t xml:space="preserve">Data Science MSc</t>
  </si>
  <si>
    <t xml:space="preserve">UCL</t>
  </si>
  <si>
    <t xml:space="preserve">University of Edinburgh</t>
  </si>
  <si>
    <t xml:space="preserve">King's College London</t>
  </si>
  <si>
    <t xml:space="preserve">MSc Data Science (Computer Science Data Informatics)</t>
  </si>
  <si>
    <t xml:space="preserve">University of Manchester</t>
  </si>
  <si>
    <t xml:space="preserve">MSc Data Science</t>
  </si>
  <si>
    <t xml:space="preserve">University of Bristol</t>
  </si>
  <si>
    <t xml:space="preserve">London School of Economics and Political Science (LSE)</t>
  </si>
  <si>
    <t xml:space="preserve">Statistics with Data Science MSc</t>
  </si>
  <si>
    <t xml:space="preserve">University of Warwick</t>
  </si>
  <si>
    <t xml:space="preserve">Canada</t>
  </si>
  <si>
    <t xml:space="preserve">Master of Management in Analytics</t>
  </si>
  <si>
    <t xml:space="preserve">McGill University</t>
  </si>
  <si>
    <t xml:space="preserve">MSc in Applied Computing — Data Science</t>
  </si>
  <si>
    <t xml:space="preserve">University of Toronto</t>
  </si>
  <si>
    <t xml:space="preserve">Master of Data Science — Vancouver</t>
  </si>
  <si>
    <t xml:space="preserve">University of British Columbia</t>
  </si>
  <si>
    <t xml:space="preserve">Master of Management Analytics</t>
  </si>
  <si>
    <t xml:space="preserve">University of Alberta</t>
  </si>
  <si>
    <t xml:space="preserve">Master of Data Science and Artificial Intelligence — Co-op</t>
  </si>
  <si>
    <t xml:space="preserve">University of Waterloo</t>
  </si>
  <si>
    <t xml:space="preserve">Master of Data Analytics</t>
  </si>
  <si>
    <t xml:space="preserve">Western University</t>
  </si>
  <si>
    <t xml:space="preserve">MSc Computer Science — Machine Learning, internship option</t>
  </si>
  <si>
    <t xml:space="preserve">Université de Montréal</t>
  </si>
  <si>
    <t xml:space="preserve">Master of Management in AI and Analytics</t>
  </si>
  <si>
    <t xml:space="preserve">McMaster University</t>
  </si>
  <si>
    <t xml:space="preserve">Full-time Master of Management Analytics</t>
  </si>
  <si>
    <t xml:space="preserve">Queen’s University</t>
  </si>
  <si>
    <t xml:space="preserve">Master of Digital Transformation and Innovation — Applied Data Science</t>
  </si>
  <si>
    <t xml:space="preserve">University of Ottawa</t>
  </si>
  <si>
    <t xml:space="preserve">Australia</t>
  </si>
  <si>
    <t xml:space="preserve">Master of Data Science and Decisions</t>
  </si>
  <si>
    <t xml:space="preserve">UNSW Sydney</t>
  </si>
  <si>
    <t xml:space="preserve">Master of Data Science</t>
  </si>
  <si>
    <t xml:space="preserve">University of Melbourne</t>
  </si>
  <si>
    <t xml:space="preserve">University of Sydney</t>
  </si>
  <si>
    <t xml:space="preserve">Master of Statistics</t>
  </si>
  <si>
    <t xml:space="preserve">Australian National University</t>
  </si>
  <si>
    <t xml:space="preserve">Monash University</t>
  </si>
  <si>
    <t xml:space="preserve">University of Queensland</t>
  </si>
  <si>
    <t xml:space="preserve">University of Western Australia</t>
  </si>
  <si>
    <t xml:space="preserve">Adelaide University</t>
  </si>
  <si>
    <t xml:space="preserve">Master of Data Science and Innovation</t>
  </si>
  <si>
    <t xml:space="preserve">University of Technology Sydney</t>
  </si>
  <si>
    <t xml:space="preserve">RMIT University</t>
  </si>
  <si>
    <t xml:space="preserve">Germany</t>
  </si>
  <si>
    <t xml:space="preserve">M.Sc. Data Engineering and Analytics</t>
  </si>
  <si>
    <t xml:space="preserve">Technical University of Munich</t>
  </si>
  <si>
    <t xml:space="preserve">M.Sc. Statistics and Data Science</t>
  </si>
  <si>
    <t xml:space="preserve">LMU Munich</t>
  </si>
  <si>
    <t xml:space="preserve">M.Sc. Data and Computer Science</t>
  </si>
  <si>
    <t xml:space="preserve">Heidelberg University</t>
  </si>
  <si>
    <t xml:space="preserve">M.Sc. Data Science</t>
  </si>
  <si>
    <t xml:space="preserve">Freie Universität Berlin</t>
  </si>
  <si>
    <t xml:space="preserve">RWTH Aachen University</t>
  </si>
  <si>
    <t xml:space="preserve">M.Sc. Computational and Data Science</t>
  </si>
  <si>
    <t xml:space="preserve">Karlsruhe Institute of Technology</t>
  </si>
  <si>
    <t xml:space="preserve">M.Sc. Statistics</t>
  </si>
  <si>
    <t xml:space="preserve">Humboldt-Universität zu Berlin / BUA joint degree</t>
  </si>
  <si>
    <t xml:space="preserve">M.Sc. Computational Modeling and Simulation</t>
  </si>
  <si>
    <t xml:space="preserve">TU Dresden</t>
  </si>
  <si>
    <t xml:space="preserve">M.Sc. Data Science and Artificial Intelligence</t>
  </si>
  <si>
    <t xml:space="preserve">University of Hamburg</t>
  </si>
  <si>
    <t xml:space="preserve">FAU Erlangen–Nürnberg</t>
  </si>
  <si>
    <t xml:space="preserve">Netherlands</t>
  </si>
  <si>
    <t xml:space="preserve">MSc Data Science and Artificial Intelligence Technology</t>
  </si>
  <si>
    <t xml:space="preserve">Delft University of Technology</t>
  </si>
  <si>
    <t xml:space="preserve">MSc Data Science and Business Analytics</t>
  </si>
  <si>
    <t xml:space="preserve">University of Amsterdam</t>
  </si>
  <si>
    <t xml:space="preserve">MSc Applied Data Science</t>
  </si>
  <si>
    <t xml:space="preserve">Utrecht University</t>
  </si>
  <si>
    <t xml:space="preserve">MSc Statistics &amp; Data Science</t>
  </si>
  <si>
    <t xml:space="preserve">Leiden University</t>
  </si>
  <si>
    <t xml:space="preserve">MSc Business Analytics &amp; Management</t>
  </si>
  <si>
    <t xml:space="preserve">Erasmus University Rotterdam</t>
  </si>
  <si>
    <t xml:space="preserve">MSc Data Science and Artificial Intelligence</t>
  </si>
  <si>
    <t xml:space="preserve">Eindhoven University of Technology</t>
  </si>
  <si>
    <t xml:space="preserve">MSc Data Science for Food and Health</t>
  </si>
  <si>
    <t xml:space="preserve">Wageningen University &amp; Research</t>
  </si>
  <si>
    <t xml:space="preserve">MSc Computing Science — Data Science and Systems Complexity</t>
  </si>
  <si>
    <t xml:space="preserve">University of Groningen</t>
  </si>
  <si>
    <t xml:space="preserve">MSc Business Analytics</t>
  </si>
  <si>
    <t xml:space="preserve">Vrije Universiteit Amsterdam</t>
  </si>
  <si>
    <t xml:space="preserve">MSc Applied Mathematics — Mathematics of Data Science &amp; AI</t>
  </si>
  <si>
    <t xml:space="preserve">University of Twente</t>
  </si>
  <si>
    <t xml:space="preserve">Occupation</t>
  </si>
  <si>
    <t xml:space="preserve">Net_salary (USD)</t>
  </si>
  <si>
    <t xml:space="preserve">Data analyst</t>
  </si>
  <si>
    <t xml:space="preserve">Data scientist</t>
  </si>
  <si>
    <t xml:space="preserve">Net salary (USD)</t>
  </si>
  <si>
    <t xml:space="preserve">Basic payback (years)</t>
  </si>
  <si>
    <t xml:space="preserve">Realistic payback (years)</t>
  </si>
  <si>
    <t xml:space="preserve">5yr ROI (%)</t>
  </si>
  <si>
    <t xml:space="preserve">10yr ROI (%)</t>
  </si>
  <si>
    <t xml:space="preserve">Basic Payback - Median (yrs)</t>
  </si>
  <si>
    <t xml:space="preserve">Basic Payback - IQR Low (yrs)</t>
  </si>
  <si>
    <t xml:space="preserve">Basic Payback - IQR High (yrs)</t>
  </si>
  <si>
    <t xml:space="preserve">Realistic Payback - Median (yrs)</t>
  </si>
  <si>
    <t xml:space="preserve">Realistic Payback - IQR Low (yrs)</t>
  </si>
  <si>
    <t xml:space="preserve">Realistic Payback - IQR High (yrs)</t>
  </si>
  <si>
    <t xml:space="preserve">5yr ROI - Median (%)</t>
  </si>
  <si>
    <t xml:space="preserve">5yr ROI - IQR Low (%)</t>
  </si>
  <si>
    <t xml:space="preserve">5yr ROI - IQR High (%)</t>
  </si>
  <si>
    <t xml:space="preserve">10yr ROI - Median (%)</t>
  </si>
  <si>
    <t xml:space="preserve">10yr ROI - IQR Low (%)</t>
  </si>
  <si>
    <t xml:space="preserve">10yr ROI - IQR High (%)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</si>
</sst>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/>
    </row>
    <row r="5" customFormat="false" ht="15" hidden="false" customHeight="true" outlineLevel="0" collapsed="false">
      <c r="A5" s="4" t="s">
        <v>2</v>
      </c>
    </row>
    <row r="6" customFormat="false" ht="15" hidden="false" customHeight="true" outlineLevel="0" collapsed="false">
      <c r="A6" s="3" t="s">
        <v>3</v>
      </c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/>
    </row>
    <row r="9" customFormat="false" ht="15" hidden="false" customHeight="true" outlineLevel="0" collapsed="false">
      <c r="A9" s="4" t="s">
        <v>5</v>
      </c>
    </row>
    <row r="10" customFormat="false" ht="15" hidden="false" customHeight="true" outlineLevel="0" collapsed="false">
      <c r="A10" s="3" t="s">
        <v>6</v>
      </c>
    </row>
    <row r="11" customFormat="false" ht="15" hidden="false" customHeight="true" outlineLevel="0" collapsed="false">
      <c r="A11" s="3" t="s">
        <v>7</v>
      </c>
    </row>
    <row r="12" customFormat="false" ht="15" hidden="false" customHeight="true" outlineLevel="0" collapsed="false">
      <c r="A12" s="3"/>
    </row>
    <row r="13" customFormat="false" ht="15" hidden="false" customHeight="true" outlineLevel="0" collapsed="false">
      <c r="A13" s="3" t="s">
        <v>8</v>
      </c>
    </row>
    <row r="14" customFormat="false" ht="15" hidden="false" customHeight="true" outlineLevel="0" collapsed="false">
      <c r="A14" s="3" t="s">
        <v>9</v>
      </c>
    </row>
    <row r="15" customFormat="false" ht="15" hidden="false" customHeight="true" outlineLevel="0" collapsed="false">
      <c r="A15" s="3" t="s">
        <v>10</v>
      </c>
    </row>
    <row r="16" customFormat="false" ht="15" hidden="false" customHeight="true" outlineLevel="0" collapsed="false">
      <c r="A16" s="3"/>
    </row>
    <row r="17" customFormat="false" ht="15" hidden="false" customHeight="true" outlineLevel="0" collapsed="false">
      <c r="A17" s="4" t="s">
        <v>11</v>
      </c>
    </row>
    <row r="18" customFormat="false" ht="15" hidden="false" customHeight="true" outlineLevel="0" collapsed="false">
      <c r="A18" s="3" t="s">
        <v>12</v>
      </c>
    </row>
    <row r="19" customFormat="false" ht="15" hidden="false" customHeight="true" outlineLevel="0" collapsed="false">
      <c r="A19" s="3" t="s">
        <v>13</v>
      </c>
    </row>
    <row r="20" customFormat="false" ht="15" hidden="false" customHeight="true" outlineLevel="0" collapsed="false">
      <c r="A20" s="3" t="s">
        <v>14</v>
      </c>
    </row>
    <row r="21" customFormat="false" ht="15" hidden="false" customHeight="true" outlineLevel="0" collapsed="false">
      <c r="A21" s="3" t="s">
        <v>15</v>
      </c>
    </row>
    <row r="22" customFormat="false" ht="15" hidden="false" customHeight="true" outlineLevel="0" collapsed="false">
      <c r="A22" s="3" t="s">
        <v>16</v>
      </c>
    </row>
    <row r="23" customFormat="false" ht="15" hidden="false" customHeight="true" outlineLevel="0" collapsed="false">
      <c r="A23" s="3" t="s">
        <v>17</v>
      </c>
    </row>
    <row r="24" customFormat="false" ht="15" hidden="false" customHeight="true" outlineLevel="0" collapsed="false">
      <c r="A24" s="3" t="s">
        <v>18</v>
      </c>
    </row>
    <row r="25" customFormat="false" ht="15" hidden="false" customHeight="true" outlineLevel="0" collapsed="false">
      <c r="A25" s="3" t="s">
        <v>19</v>
      </c>
    </row>
    <row r="26" customFormat="false" ht="15" hidden="false" customHeight="true" outlineLevel="0" collapsed="false">
      <c r="A26" s="3" t="s">
        <v>20</v>
      </c>
    </row>
    <row r="27" customFormat="false" ht="15" hidden="false" customHeight="true" outlineLevel="0" collapsed="false">
      <c r="A27" s="3"/>
    </row>
    <row r="28" customFormat="false" ht="15" hidden="false" customHeight="true" outlineLevel="0" collapsed="false">
      <c r="A28" s="4" t="s">
        <v>21</v>
      </c>
    </row>
    <row r="29" customFormat="false" ht="15" hidden="false" customHeight="true" outlineLevel="0" collapsed="false">
      <c r="A29" s="3" t="s">
        <v>22</v>
      </c>
    </row>
    <row r="30" customFormat="false" ht="15" hidden="false" customHeight="true" outlineLevel="0" collapsed="false">
      <c r="A30" s="3" t="s">
        <v>23</v>
      </c>
    </row>
    <row r="31" customFormat="false" ht="15" hidden="false" customHeight="true" outlineLevel="0" collapsed="false">
      <c r="A31" s="3" t="s">
        <v>24</v>
      </c>
    </row>
    <row r="32" customFormat="false" ht="15" hidden="false" customHeight="true" outlineLevel="0" collapsed="false">
      <c r="A32" s="3" t="s">
        <v>25</v>
      </c>
    </row>
    <row r="33" customFormat="false" ht="15" hidden="false" customHeight="true" outlineLevel="0" collapsed="false">
      <c r="A33" s="3" t="s">
        <v>26</v>
      </c>
    </row>
    <row r="34" customFormat="false" ht="15" hidden="false" customHeight="true" outlineLevel="0" collapsed="false">
      <c r="A34" s="3" t="s">
        <v>27</v>
      </c>
    </row>
    <row r="35" customFormat="false" ht="15" hidden="false" customHeight="true" outlineLevel="0" collapsed="false">
      <c r="A35" s="3" t="s">
        <v>28</v>
      </c>
    </row>
    <row r="36" customFormat="false" ht="15" hidden="false" customHeight="true" outlineLevel="0" collapsed="false">
      <c r="A36" s="3" t="s">
        <v>29</v>
      </c>
    </row>
    <row r="37" customFormat="false" ht="15" hidden="false" customHeight="true" outlineLevel="0" collapsed="false">
      <c r="A37" s="3"/>
    </row>
    <row r="38" customFormat="false" ht="15" hidden="false" customHeight="true" outlineLevel="0" collapsed="false">
      <c r="A38" s="4" t="s">
        <v>30</v>
      </c>
    </row>
    <row r="39" customFormat="false" ht="15" hidden="false" customHeight="true" outlineLevel="0" collapsed="false">
      <c r="A39" s="3" t="s">
        <v>31</v>
      </c>
    </row>
    <row r="40" customFormat="false" ht="15" hidden="false" customHeight="true" outlineLevel="0" collapsed="false">
      <c r="A40" s="3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0"/>
    <col collapsed="false" customWidth="true" hidden="false" outlineLevel="0" max="3" min="3" style="1" width="26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7" min="6" style="1" width="14"/>
  </cols>
  <sheetData>
    <row r="1" customFormat="false" ht="23.25" hidden="false" customHeight="true" outlineLevel="0" collapsed="false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</row>
    <row r="2" customFormat="false" ht="15" hidden="false" customHeight="true" outlineLevel="0" collapsed="false">
      <c r="A2" s="6" t="s">
        <v>40</v>
      </c>
      <c r="B2" s="6" t="s">
        <v>41</v>
      </c>
      <c r="C2" s="6" t="s">
        <v>42</v>
      </c>
      <c r="D2" s="6" t="n">
        <v>96884</v>
      </c>
      <c r="E2" s="6" t="n">
        <v>12</v>
      </c>
      <c r="F2" s="6" t="n">
        <v>54120</v>
      </c>
      <c r="G2" s="6" t="n">
        <v>151004</v>
      </c>
    </row>
    <row r="3" customFormat="false" ht="15" hidden="false" customHeight="true" outlineLevel="0" collapsed="false">
      <c r="A3" s="6" t="s">
        <v>40</v>
      </c>
      <c r="B3" s="6" t="s">
        <v>43</v>
      </c>
      <c r="C3" s="6" t="s">
        <v>44</v>
      </c>
      <c r="D3" s="6" t="n">
        <v>70900</v>
      </c>
      <c r="E3" s="6" t="n">
        <v>18</v>
      </c>
      <c r="F3" s="6" t="n">
        <v>90027</v>
      </c>
      <c r="G3" s="6" t="n">
        <v>160927</v>
      </c>
    </row>
    <row r="4" customFormat="false" ht="15" hidden="false" customHeight="true" outlineLevel="0" collapsed="false">
      <c r="A4" s="6" t="s">
        <v>40</v>
      </c>
      <c r="B4" s="6" t="s">
        <v>45</v>
      </c>
      <c r="C4" s="6" t="s">
        <v>46</v>
      </c>
      <c r="D4" s="6" t="n">
        <v>101256</v>
      </c>
      <c r="E4" s="6" t="n">
        <v>16</v>
      </c>
      <c r="F4" s="6" t="n">
        <v>63245</v>
      </c>
      <c r="G4" s="6" t="n">
        <v>164501</v>
      </c>
    </row>
    <row r="5" customFormat="false" ht="15" hidden="false" customHeight="true" outlineLevel="0" collapsed="false">
      <c r="A5" s="6" t="s">
        <v>40</v>
      </c>
      <c r="B5" s="6" t="s">
        <v>45</v>
      </c>
      <c r="C5" s="6" t="s">
        <v>47</v>
      </c>
      <c r="D5" s="6" t="n">
        <v>88250</v>
      </c>
      <c r="E5" s="6" t="n">
        <v>21</v>
      </c>
      <c r="F5" s="6" t="n">
        <v>63534</v>
      </c>
      <c r="G5" s="6" t="n">
        <v>151784</v>
      </c>
    </row>
    <row r="6" customFormat="false" ht="15" hidden="false" customHeight="true" outlineLevel="0" collapsed="false">
      <c r="A6" s="6" t="s">
        <v>40</v>
      </c>
      <c r="B6" s="6" t="s">
        <v>48</v>
      </c>
      <c r="C6" s="6" t="s">
        <v>49</v>
      </c>
      <c r="D6" s="6" t="n">
        <v>73946</v>
      </c>
      <c r="E6" s="6" t="n">
        <v>12</v>
      </c>
      <c r="F6" s="6" t="n">
        <v>39829</v>
      </c>
      <c r="G6" s="6" t="n">
        <v>113775</v>
      </c>
    </row>
    <row r="7" customFormat="false" ht="15" hidden="false" customHeight="true" outlineLevel="0" collapsed="false">
      <c r="A7" s="6" t="s">
        <v>40</v>
      </c>
      <c r="B7" s="6" t="s">
        <v>43</v>
      </c>
      <c r="C7" s="6" t="s">
        <v>50</v>
      </c>
      <c r="D7" s="6" t="n">
        <v>78600</v>
      </c>
      <c r="E7" s="6" t="n">
        <v>16</v>
      </c>
      <c r="F7" s="6" t="n">
        <v>58025</v>
      </c>
      <c r="G7" s="6" t="n">
        <v>136625</v>
      </c>
    </row>
    <row r="8" customFormat="false" ht="15" hidden="false" customHeight="true" outlineLevel="0" collapsed="false">
      <c r="A8" s="6" t="s">
        <v>40</v>
      </c>
      <c r="B8" s="6" t="s">
        <v>45</v>
      </c>
      <c r="C8" s="6" t="s">
        <v>51</v>
      </c>
      <c r="D8" s="6" t="n">
        <v>103005</v>
      </c>
      <c r="E8" s="6" t="n">
        <v>16</v>
      </c>
      <c r="F8" s="6" t="n">
        <v>49061</v>
      </c>
      <c r="G8" s="6" t="n">
        <v>152066</v>
      </c>
    </row>
    <row r="9" customFormat="false" ht="23.25" hidden="false" customHeight="true" outlineLevel="0" collapsed="false">
      <c r="A9" s="6" t="s">
        <v>40</v>
      </c>
      <c r="B9" s="6" t="s">
        <v>43</v>
      </c>
      <c r="C9" s="6" t="s">
        <v>52</v>
      </c>
      <c r="D9" s="6" t="n">
        <v>55285</v>
      </c>
      <c r="E9" s="6" t="n">
        <v>10</v>
      </c>
      <c r="F9" s="6" t="n">
        <v>38472</v>
      </c>
      <c r="G9" s="6" t="n">
        <v>93757</v>
      </c>
    </row>
    <row r="10" customFormat="false" ht="15" hidden="false" customHeight="true" outlineLevel="0" collapsed="false">
      <c r="A10" s="6" t="s">
        <v>40</v>
      </c>
      <c r="B10" s="6" t="s">
        <v>53</v>
      </c>
      <c r="C10" s="6" t="s">
        <v>54</v>
      </c>
      <c r="D10" s="6" t="n">
        <v>76608</v>
      </c>
      <c r="E10" s="6" t="n">
        <v>12</v>
      </c>
      <c r="F10" s="6" t="n">
        <v>46297</v>
      </c>
      <c r="G10" s="6" t="n">
        <v>122905</v>
      </c>
    </row>
    <row r="11" customFormat="false" ht="15" hidden="false" customHeight="true" outlineLevel="0" collapsed="false">
      <c r="A11" s="6" t="s">
        <v>40</v>
      </c>
      <c r="B11" s="6" t="s">
        <v>45</v>
      </c>
      <c r="C11" s="6" t="s">
        <v>55</v>
      </c>
      <c r="D11" s="6" t="n">
        <v>84660</v>
      </c>
      <c r="E11" s="6" t="n">
        <v>16</v>
      </c>
      <c r="F11" s="6" t="n">
        <v>50037</v>
      </c>
      <c r="G11" s="6" t="n">
        <v>134697</v>
      </c>
    </row>
    <row r="12" customFormat="false" ht="23.25" hidden="false" customHeight="true" outlineLevel="0" collapsed="false">
      <c r="A12" s="6" t="s">
        <v>56</v>
      </c>
      <c r="B12" s="6" t="s">
        <v>57</v>
      </c>
      <c r="C12" s="6" t="s">
        <v>58</v>
      </c>
      <c r="D12" s="6" t="n">
        <v>53134</v>
      </c>
      <c r="E12" s="6" t="n">
        <v>12</v>
      </c>
      <c r="F12" s="6" t="n">
        <v>29446</v>
      </c>
      <c r="G12" s="6" t="n">
        <v>82580</v>
      </c>
    </row>
    <row r="13" customFormat="false" ht="15" hidden="false" customHeight="true" outlineLevel="0" collapsed="false">
      <c r="A13" s="6" t="s">
        <v>56</v>
      </c>
      <c r="B13" s="6" t="s">
        <v>59</v>
      </c>
      <c r="C13" s="6" t="s">
        <v>60</v>
      </c>
      <c r="D13" s="6" t="n">
        <v>58234</v>
      </c>
      <c r="E13" s="6" t="n">
        <v>12</v>
      </c>
      <c r="F13" s="6" t="n">
        <v>29078</v>
      </c>
      <c r="G13" s="6" t="n">
        <v>87312</v>
      </c>
    </row>
    <row r="14" customFormat="false" ht="15" hidden="false" customHeight="true" outlineLevel="0" collapsed="false">
      <c r="A14" s="6" t="s">
        <v>56</v>
      </c>
      <c r="B14" s="6" t="s">
        <v>61</v>
      </c>
      <c r="C14" s="6" t="s">
        <v>62</v>
      </c>
      <c r="D14" s="6" t="n">
        <v>52383</v>
      </c>
      <c r="E14" s="6" t="n">
        <v>10</v>
      </c>
      <c r="F14" s="6" t="n">
        <v>22900</v>
      </c>
      <c r="G14" s="6" t="n">
        <v>75283</v>
      </c>
    </row>
    <row r="15" customFormat="false" ht="15" hidden="false" customHeight="true" outlineLevel="0" collapsed="false">
      <c r="A15" s="6" t="s">
        <v>56</v>
      </c>
      <c r="B15" s="6" t="s">
        <v>63</v>
      </c>
      <c r="C15" s="6" t="s">
        <v>64</v>
      </c>
      <c r="D15" s="6" t="n">
        <v>62189</v>
      </c>
      <c r="E15" s="6" t="n">
        <v>12</v>
      </c>
      <c r="F15" s="6" t="n">
        <v>27667</v>
      </c>
      <c r="G15" s="6" t="n">
        <v>89856</v>
      </c>
    </row>
    <row r="16" customFormat="false" ht="15" hidden="false" customHeight="true" outlineLevel="0" collapsed="false">
      <c r="A16" s="6" t="s">
        <v>56</v>
      </c>
      <c r="B16" s="6" t="s">
        <v>63</v>
      </c>
      <c r="C16" s="6" t="s">
        <v>65</v>
      </c>
      <c r="D16" s="6" t="n">
        <v>54465</v>
      </c>
      <c r="E16" s="6" t="n">
        <v>12</v>
      </c>
      <c r="F16" s="6" t="n">
        <v>25675</v>
      </c>
      <c r="G16" s="6" t="n">
        <v>80140</v>
      </c>
    </row>
    <row r="17" customFormat="false" ht="15" hidden="false" customHeight="true" outlineLevel="0" collapsed="false">
      <c r="A17" s="6" t="s">
        <v>56</v>
      </c>
      <c r="B17" s="6" t="s">
        <v>63</v>
      </c>
      <c r="C17" s="6" t="s">
        <v>66</v>
      </c>
      <c r="D17" s="6" t="n">
        <v>53866</v>
      </c>
      <c r="E17" s="6" t="n">
        <v>12</v>
      </c>
      <c r="F17" s="6" t="n">
        <v>29318</v>
      </c>
      <c r="G17" s="6" t="n">
        <v>83184</v>
      </c>
    </row>
    <row r="18" customFormat="false" ht="23.25" hidden="false" customHeight="true" outlineLevel="0" collapsed="false">
      <c r="A18" s="6" t="s">
        <v>56</v>
      </c>
      <c r="B18" s="6" t="s">
        <v>67</v>
      </c>
      <c r="C18" s="6" t="s">
        <v>68</v>
      </c>
      <c r="D18" s="6" t="n">
        <v>46875</v>
      </c>
      <c r="E18" s="6" t="n">
        <v>12</v>
      </c>
      <c r="F18" s="6" t="n">
        <v>25254</v>
      </c>
      <c r="G18" s="6" t="n">
        <v>72129</v>
      </c>
    </row>
    <row r="19" customFormat="false" ht="15" hidden="false" customHeight="true" outlineLevel="0" collapsed="false">
      <c r="A19" s="6" t="s">
        <v>56</v>
      </c>
      <c r="B19" s="6" t="s">
        <v>69</v>
      </c>
      <c r="C19" s="6" t="s">
        <v>70</v>
      </c>
      <c r="D19" s="6" t="n">
        <v>48606</v>
      </c>
      <c r="E19" s="6" t="n">
        <v>12</v>
      </c>
      <c r="F19" s="6" t="n">
        <v>30788</v>
      </c>
      <c r="G19" s="6" t="n">
        <v>79394</v>
      </c>
    </row>
    <row r="20" customFormat="false" ht="23.25" hidden="false" customHeight="true" outlineLevel="0" collapsed="false">
      <c r="A20" s="6" t="s">
        <v>56</v>
      </c>
      <c r="B20" s="6" t="s">
        <v>69</v>
      </c>
      <c r="C20" s="6" t="s">
        <v>71</v>
      </c>
      <c r="D20" s="6" t="n">
        <v>53134</v>
      </c>
      <c r="E20" s="6" t="n">
        <v>12</v>
      </c>
      <c r="F20" s="6" t="n">
        <v>25802</v>
      </c>
      <c r="G20" s="6" t="n">
        <v>78936</v>
      </c>
    </row>
    <row r="21" customFormat="false" ht="15" hidden="false" customHeight="true" outlineLevel="0" collapsed="false">
      <c r="A21" s="6" t="s">
        <v>56</v>
      </c>
      <c r="B21" s="6" t="s">
        <v>72</v>
      </c>
      <c r="C21" s="6" t="s">
        <v>73</v>
      </c>
      <c r="D21" s="6" t="n">
        <v>49884</v>
      </c>
      <c r="E21" s="6" t="n">
        <v>12</v>
      </c>
      <c r="F21" s="6" t="n">
        <v>19187</v>
      </c>
      <c r="G21" s="6" t="n">
        <v>69071</v>
      </c>
    </row>
    <row r="22" customFormat="false" ht="15" hidden="false" customHeight="true" outlineLevel="0" collapsed="false">
      <c r="A22" s="6" t="s">
        <v>74</v>
      </c>
      <c r="B22" s="6" t="s">
        <v>75</v>
      </c>
      <c r="C22" s="6" t="s">
        <v>76</v>
      </c>
      <c r="D22" s="6" t="n">
        <v>58254</v>
      </c>
      <c r="E22" s="6" t="n">
        <v>12</v>
      </c>
      <c r="F22" s="6" t="n">
        <v>14978</v>
      </c>
      <c r="G22" s="6" t="n">
        <v>73232</v>
      </c>
    </row>
    <row r="23" customFormat="false" ht="23.25" hidden="false" customHeight="true" outlineLevel="0" collapsed="false">
      <c r="A23" s="6" t="s">
        <v>74</v>
      </c>
      <c r="B23" s="6" t="s">
        <v>77</v>
      </c>
      <c r="C23" s="6" t="s">
        <v>78</v>
      </c>
      <c r="D23" s="6" t="n">
        <v>63897</v>
      </c>
      <c r="E23" s="6" t="n">
        <v>16</v>
      </c>
      <c r="F23" s="6" t="n">
        <v>27908</v>
      </c>
      <c r="G23" s="6" t="n">
        <v>91805</v>
      </c>
    </row>
    <row r="24" customFormat="false" ht="23.25" hidden="false" customHeight="true" outlineLevel="0" collapsed="false">
      <c r="A24" s="6" t="s">
        <v>74</v>
      </c>
      <c r="B24" s="6" t="s">
        <v>79</v>
      </c>
      <c r="C24" s="6" t="s">
        <v>80</v>
      </c>
      <c r="D24" s="6" t="n">
        <v>42410</v>
      </c>
      <c r="E24" s="6" t="n">
        <v>10</v>
      </c>
      <c r="F24" s="6" t="n">
        <v>22067</v>
      </c>
      <c r="G24" s="6" t="n">
        <v>64477</v>
      </c>
    </row>
    <row r="25" customFormat="false" ht="15" hidden="false" customHeight="true" outlineLevel="0" collapsed="false">
      <c r="A25" s="6" t="s">
        <v>74</v>
      </c>
      <c r="B25" s="6" t="s">
        <v>81</v>
      </c>
      <c r="C25" s="6" t="s">
        <v>82</v>
      </c>
      <c r="D25" s="6" t="n">
        <v>42574</v>
      </c>
      <c r="E25" s="6" t="n">
        <v>12</v>
      </c>
      <c r="F25" s="6" t="n">
        <v>18558</v>
      </c>
      <c r="G25" s="6" t="n">
        <v>61132</v>
      </c>
    </row>
    <row r="26" customFormat="false" ht="23.25" hidden="false" customHeight="true" outlineLevel="0" collapsed="false">
      <c r="A26" s="6" t="s">
        <v>74</v>
      </c>
      <c r="B26" s="6" t="s">
        <v>83</v>
      </c>
      <c r="C26" s="6" t="s">
        <v>84</v>
      </c>
      <c r="D26" s="6" t="n">
        <v>40054</v>
      </c>
      <c r="E26" s="6" t="n">
        <v>16</v>
      </c>
      <c r="F26" s="6" t="n">
        <v>30977</v>
      </c>
      <c r="G26" s="6" t="n">
        <v>71031</v>
      </c>
    </row>
    <row r="27" customFormat="false" ht="15" hidden="false" customHeight="true" outlineLevel="0" collapsed="false">
      <c r="A27" s="6" t="s">
        <v>74</v>
      </c>
      <c r="B27" s="6" t="s">
        <v>85</v>
      </c>
      <c r="C27" s="6" t="s">
        <v>86</v>
      </c>
      <c r="D27" s="6" t="n">
        <v>43300</v>
      </c>
      <c r="E27" s="6" t="n">
        <v>12</v>
      </c>
      <c r="F27" s="6" t="n">
        <v>24644</v>
      </c>
      <c r="G27" s="6" t="n">
        <v>67943</v>
      </c>
    </row>
    <row r="28" customFormat="false" ht="23.25" hidden="false" customHeight="true" outlineLevel="0" collapsed="false">
      <c r="A28" s="6" t="s">
        <v>74</v>
      </c>
      <c r="B28" s="6" t="s">
        <v>87</v>
      </c>
      <c r="C28" s="6" t="s">
        <v>88</v>
      </c>
      <c r="D28" s="6" t="n">
        <v>24840</v>
      </c>
      <c r="E28" s="6" t="n">
        <v>24</v>
      </c>
      <c r="F28" s="6" t="n">
        <v>29513</v>
      </c>
      <c r="G28" s="6" t="n">
        <v>54352</v>
      </c>
    </row>
    <row r="29" customFormat="false" ht="23.25" hidden="false" customHeight="true" outlineLevel="0" collapsed="false">
      <c r="A29" s="6" t="s">
        <v>74</v>
      </c>
      <c r="B29" s="6" t="s">
        <v>89</v>
      </c>
      <c r="C29" s="6" t="s">
        <v>90</v>
      </c>
      <c r="D29" s="6" t="n">
        <v>46122</v>
      </c>
      <c r="E29" s="6" t="n">
        <v>16</v>
      </c>
      <c r="F29" s="6" t="n">
        <v>29200</v>
      </c>
      <c r="G29" s="6" t="n">
        <v>75323</v>
      </c>
    </row>
    <row r="30" customFormat="false" ht="23.25" hidden="false" customHeight="true" outlineLevel="0" collapsed="false">
      <c r="A30" s="6" t="s">
        <v>74</v>
      </c>
      <c r="B30" s="6" t="s">
        <v>91</v>
      </c>
      <c r="C30" s="6" t="s">
        <v>92</v>
      </c>
      <c r="D30" s="6" t="n">
        <v>59338</v>
      </c>
      <c r="E30" s="6" t="n">
        <v>16</v>
      </c>
      <c r="F30" s="6" t="n">
        <v>27908</v>
      </c>
      <c r="G30" s="6" t="n">
        <v>87246</v>
      </c>
    </row>
    <row r="31" customFormat="false" ht="23.25" hidden="false" customHeight="true" outlineLevel="0" collapsed="false">
      <c r="A31" s="6" t="s">
        <v>74</v>
      </c>
      <c r="B31" s="6" t="s">
        <v>93</v>
      </c>
      <c r="C31" s="6" t="s">
        <v>94</v>
      </c>
      <c r="D31" s="6" t="n">
        <v>27859</v>
      </c>
      <c r="E31" s="6" t="n">
        <v>24</v>
      </c>
      <c r="F31" s="6" t="n">
        <v>30358</v>
      </c>
      <c r="G31" s="6" t="n">
        <v>58217</v>
      </c>
    </row>
    <row r="32" customFormat="false" ht="23.25" hidden="false" customHeight="true" outlineLevel="0" collapsed="false">
      <c r="A32" s="6" t="s">
        <v>95</v>
      </c>
      <c r="B32" s="6" t="s">
        <v>96</v>
      </c>
      <c r="C32" s="6" t="s">
        <v>97</v>
      </c>
      <c r="D32" s="6" t="n">
        <v>88195</v>
      </c>
      <c r="E32" s="6" t="n">
        <v>24</v>
      </c>
      <c r="F32" s="6" t="n">
        <v>56379</v>
      </c>
      <c r="G32" s="6" t="n">
        <v>144573</v>
      </c>
    </row>
    <row r="33" customFormat="false" ht="15" hidden="false" customHeight="true" outlineLevel="0" collapsed="false">
      <c r="A33" s="6" t="s">
        <v>95</v>
      </c>
      <c r="B33" s="6" t="s">
        <v>98</v>
      </c>
      <c r="C33" s="6" t="s">
        <v>99</v>
      </c>
      <c r="D33" s="6" t="n">
        <v>85232</v>
      </c>
      <c r="E33" s="6" t="n">
        <v>24</v>
      </c>
      <c r="F33" s="6" t="n">
        <v>57490</v>
      </c>
      <c r="G33" s="6" t="n">
        <v>142722</v>
      </c>
    </row>
    <row r="34" customFormat="false" ht="15" hidden="false" customHeight="true" outlineLevel="0" collapsed="false">
      <c r="A34" s="6" t="s">
        <v>95</v>
      </c>
      <c r="B34" s="6" t="s">
        <v>98</v>
      </c>
      <c r="C34" s="6" t="s">
        <v>100</v>
      </c>
      <c r="D34" s="6" t="n">
        <v>63836</v>
      </c>
      <c r="E34" s="6" t="n">
        <v>18</v>
      </c>
      <c r="F34" s="6" t="n">
        <v>57491</v>
      </c>
      <c r="G34" s="6" t="n">
        <v>121327</v>
      </c>
    </row>
    <row r="35" customFormat="false" ht="15" hidden="false" customHeight="true" outlineLevel="0" collapsed="false">
      <c r="A35" s="6" t="s">
        <v>95</v>
      </c>
      <c r="B35" s="6" t="s">
        <v>101</v>
      </c>
      <c r="C35" s="6" t="s">
        <v>102</v>
      </c>
      <c r="D35" s="6" t="n">
        <v>78563</v>
      </c>
      <c r="E35" s="6" t="n">
        <v>24</v>
      </c>
      <c r="F35" s="6" t="n">
        <v>51891</v>
      </c>
      <c r="G35" s="6" t="n">
        <v>130454</v>
      </c>
    </row>
    <row r="36" customFormat="false" ht="15" hidden="false" customHeight="true" outlineLevel="0" collapsed="false">
      <c r="A36" s="6" t="s">
        <v>95</v>
      </c>
      <c r="B36" s="6" t="s">
        <v>98</v>
      </c>
      <c r="C36" s="6" t="s">
        <v>103</v>
      </c>
      <c r="D36" s="6" t="n">
        <v>77975</v>
      </c>
      <c r="E36" s="6" t="n">
        <v>24</v>
      </c>
      <c r="F36" s="6" t="n">
        <v>53990</v>
      </c>
      <c r="G36" s="6" t="n">
        <v>131966</v>
      </c>
    </row>
    <row r="37" customFormat="false" ht="15" hidden="false" customHeight="true" outlineLevel="0" collapsed="false">
      <c r="A37" s="6" t="s">
        <v>95</v>
      </c>
      <c r="B37" s="6" t="s">
        <v>98</v>
      </c>
      <c r="C37" s="6" t="s">
        <v>104</v>
      </c>
      <c r="D37" s="6" t="n">
        <v>85328</v>
      </c>
      <c r="E37" s="6" t="n">
        <v>24</v>
      </c>
      <c r="F37" s="6" t="n">
        <v>44363</v>
      </c>
      <c r="G37" s="6" t="n">
        <v>129691</v>
      </c>
    </row>
    <row r="38" customFormat="false" ht="15" hidden="false" customHeight="true" outlineLevel="0" collapsed="false">
      <c r="A38" s="6" t="s">
        <v>95</v>
      </c>
      <c r="B38" s="6" t="s">
        <v>98</v>
      </c>
      <c r="C38" s="6" t="s">
        <v>105</v>
      </c>
      <c r="D38" s="6" t="n">
        <v>64956</v>
      </c>
      <c r="E38" s="6" t="n">
        <v>24</v>
      </c>
      <c r="F38" s="6" t="n">
        <v>72469</v>
      </c>
      <c r="G38" s="6" t="n">
        <v>137425</v>
      </c>
    </row>
    <row r="39" customFormat="false" ht="15" hidden="false" customHeight="true" outlineLevel="0" collapsed="false">
      <c r="A39" s="6" t="s">
        <v>95</v>
      </c>
      <c r="B39" s="6" t="s">
        <v>98</v>
      </c>
      <c r="C39" s="6" t="s">
        <v>106</v>
      </c>
      <c r="D39" s="6" t="n">
        <v>76855</v>
      </c>
      <c r="E39" s="6" t="n">
        <v>24</v>
      </c>
      <c r="F39" s="6" t="n">
        <v>39711</v>
      </c>
      <c r="G39" s="6" t="n">
        <v>116567</v>
      </c>
    </row>
    <row r="40" customFormat="false" ht="23.25" hidden="false" customHeight="true" outlineLevel="0" collapsed="false">
      <c r="A40" s="6" t="s">
        <v>95</v>
      </c>
      <c r="B40" s="6" t="s">
        <v>107</v>
      </c>
      <c r="C40" s="6" t="s">
        <v>108</v>
      </c>
      <c r="D40" s="6" t="n">
        <v>70648</v>
      </c>
      <c r="E40" s="6" t="n">
        <v>24</v>
      </c>
      <c r="F40" s="6" t="n">
        <v>48214</v>
      </c>
      <c r="G40" s="6" t="n">
        <v>118862</v>
      </c>
    </row>
    <row r="41" customFormat="false" ht="15" hidden="false" customHeight="true" outlineLevel="0" collapsed="false">
      <c r="A41" s="6" t="s">
        <v>95</v>
      </c>
      <c r="B41" s="6" t="s">
        <v>98</v>
      </c>
      <c r="C41" s="6" t="s">
        <v>109</v>
      </c>
      <c r="D41" s="6" t="n">
        <v>65852</v>
      </c>
      <c r="E41" s="6" t="n">
        <v>24</v>
      </c>
      <c r="F41" s="6" t="n">
        <v>53503</v>
      </c>
      <c r="G41" s="6" t="n">
        <v>119355</v>
      </c>
    </row>
    <row r="42" customFormat="false" ht="23.25" hidden="false" customHeight="true" outlineLevel="0" collapsed="false">
      <c r="A42" s="6" t="s">
        <v>110</v>
      </c>
      <c r="B42" s="6" t="s">
        <v>111</v>
      </c>
      <c r="C42" s="6" t="s">
        <v>112</v>
      </c>
      <c r="D42" s="6" t="n">
        <v>27334</v>
      </c>
      <c r="E42" s="6" t="n">
        <v>24</v>
      </c>
      <c r="F42" s="6" t="n">
        <v>35534</v>
      </c>
      <c r="G42" s="6" t="n">
        <v>62867</v>
      </c>
    </row>
    <row r="43" customFormat="false" ht="15" hidden="false" customHeight="true" outlineLevel="0" collapsed="false">
      <c r="A43" s="6" t="s">
        <v>110</v>
      </c>
      <c r="B43" s="6" t="s">
        <v>113</v>
      </c>
      <c r="C43" s="6" t="s">
        <v>114</v>
      </c>
      <c r="D43" s="6" t="n">
        <v>0</v>
      </c>
      <c r="E43" s="6" t="n">
        <v>24</v>
      </c>
      <c r="F43" s="6" t="n">
        <v>41000</v>
      </c>
      <c r="G43" s="6" t="n">
        <v>41000</v>
      </c>
    </row>
    <row r="44" customFormat="false" ht="15" hidden="false" customHeight="true" outlineLevel="0" collapsed="false">
      <c r="A44" s="6" t="s">
        <v>110</v>
      </c>
      <c r="B44" s="6" t="s">
        <v>115</v>
      </c>
      <c r="C44" s="6" t="s">
        <v>116</v>
      </c>
      <c r="D44" s="6" t="n">
        <v>6833</v>
      </c>
      <c r="E44" s="6" t="n">
        <v>24</v>
      </c>
      <c r="F44" s="6" t="n">
        <v>27334</v>
      </c>
      <c r="G44" s="6" t="n">
        <v>34167</v>
      </c>
    </row>
    <row r="45" customFormat="false" ht="15" hidden="false" customHeight="true" outlineLevel="0" collapsed="false">
      <c r="A45" s="6" t="s">
        <v>110</v>
      </c>
      <c r="B45" s="6" t="s">
        <v>117</v>
      </c>
      <c r="C45" s="6" t="s">
        <v>118</v>
      </c>
      <c r="D45" s="6" t="n">
        <v>0</v>
      </c>
      <c r="E45" s="6" t="n">
        <v>24</v>
      </c>
      <c r="F45" s="6" t="n">
        <v>27115</v>
      </c>
      <c r="G45" s="6" t="n">
        <v>27115</v>
      </c>
    </row>
    <row r="46" customFormat="false" ht="15" hidden="false" customHeight="true" outlineLevel="0" collapsed="false">
      <c r="A46" s="6" t="s">
        <v>110</v>
      </c>
      <c r="B46" s="6" t="s">
        <v>117</v>
      </c>
      <c r="C46" s="6" t="s">
        <v>119</v>
      </c>
      <c r="D46" s="6" t="n">
        <v>0</v>
      </c>
      <c r="E46" s="6" t="n">
        <v>24</v>
      </c>
      <c r="F46" s="6" t="n">
        <v>30067</v>
      </c>
      <c r="G46" s="6" t="n">
        <v>30067</v>
      </c>
    </row>
    <row r="47" customFormat="false" ht="23.25" hidden="false" customHeight="true" outlineLevel="0" collapsed="false">
      <c r="A47" s="6" t="s">
        <v>110</v>
      </c>
      <c r="B47" s="6" t="s">
        <v>120</v>
      </c>
      <c r="C47" s="6" t="s">
        <v>121</v>
      </c>
      <c r="D47" s="6" t="n">
        <v>6833</v>
      </c>
      <c r="E47" s="6" t="n">
        <v>24</v>
      </c>
      <c r="F47" s="6" t="n">
        <v>23234</v>
      </c>
      <c r="G47" s="6" t="n">
        <v>30067</v>
      </c>
    </row>
    <row r="48" customFormat="false" ht="23.25" hidden="false" customHeight="true" outlineLevel="0" collapsed="false">
      <c r="A48" s="6" t="s">
        <v>110</v>
      </c>
      <c r="B48" s="6" t="s">
        <v>122</v>
      </c>
      <c r="C48" s="6" t="s">
        <v>123</v>
      </c>
      <c r="D48" s="6" t="n">
        <v>0</v>
      </c>
      <c r="E48" s="6" t="n">
        <v>24</v>
      </c>
      <c r="F48" s="6" t="n">
        <v>27115</v>
      </c>
      <c r="G48" s="6" t="n">
        <v>27115</v>
      </c>
    </row>
    <row r="49" customFormat="false" ht="23.25" hidden="false" customHeight="true" outlineLevel="0" collapsed="false">
      <c r="A49" s="6" t="s">
        <v>110</v>
      </c>
      <c r="B49" s="6" t="s">
        <v>124</v>
      </c>
      <c r="C49" s="6" t="s">
        <v>125</v>
      </c>
      <c r="D49" s="6" t="n">
        <v>0</v>
      </c>
      <c r="E49" s="6" t="n">
        <v>24</v>
      </c>
      <c r="F49" s="6" t="n">
        <v>28700</v>
      </c>
      <c r="G49" s="6" t="n">
        <v>28700</v>
      </c>
    </row>
    <row r="50" customFormat="false" ht="23.25" hidden="false" customHeight="true" outlineLevel="0" collapsed="false">
      <c r="A50" s="6" t="s">
        <v>110</v>
      </c>
      <c r="B50" s="6" t="s">
        <v>126</v>
      </c>
      <c r="C50" s="6" t="s">
        <v>127</v>
      </c>
      <c r="D50" s="6" t="n">
        <v>0</v>
      </c>
      <c r="E50" s="6" t="n">
        <v>24</v>
      </c>
      <c r="F50" s="6" t="n">
        <v>35397</v>
      </c>
      <c r="G50" s="6" t="n">
        <v>35397</v>
      </c>
    </row>
    <row r="51" customFormat="false" ht="15" hidden="false" customHeight="true" outlineLevel="0" collapsed="false">
      <c r="A51" s="6" t="s">
        <v>110</v>
      </c>
      <c r="B51" s="6" t="s">
        <v>117</v>
      </c>
      <c r="C51" s="6" t="s">
        <v>128</v>
      </c>
      <c r="D51" s="6" t="n">
        <v>0</v>
      </c>
      <c r="E51" s="6" t="n">
        <v>24</v>
      </c>
      <c r="F51" s="6" t="n">
        <v>26514</v>
      </c>
      <c r="G51" s="6" t="n">
        <v>26514</v>
      </c>
    </row>
    <row r="52" customFormat="false" ht="23.25" hidden="false" customHeight="true" outlineLevel="0" collapsed="false">
      <c r="A52" s="6" t="s">
        <v>129</v>
      </c>
      <c r="B52" s="6" t="s">
        <v>130</v>
      </c>
      <c r="C52" s="6" t="s">
        <v>131</v>
      </c>
      <c r="D52" s="6" t="n">
        <v>58387</v>
      </c>
      <c r="E52" s="6" t="n">
        <v>24</v>
      </c>
      <c r="F52" s="6" t="n">
        <v>33971</v>
      </c>
      <c r="G52" s="6" t="n">
        <v>92358</v>
      </c>
    </row>
    <row r="53" customFormat="false" ht="23.25" hidden="false" customHeight="true" outlineLevel="0" collapsed="false">
      <c r="A53" s="6" t="s">
        <v>129</v>
      </c>
      <c r="B53" s="6" t="s">
        <v>132</v>
      </c>
      <c r="C53" s="6" t="s">
        <v>133</v>
      </c>
      <c r="D53" s="6" t="n">
        <v>22664</v>
      </c>
      <c r="E53" s="6" t="n">
        <v>12</v>
      </c>
      <c r="F53" s="6" t="n">
        <v>16913</v>
      </c>
      <c r="G53" s="6" t="n">
        <v>39577</v>
      </c>
    </row>
    <row r="54" customFormat="false" ht="15" hidden="false" customHeight="true" outlineLevel="0" collapsed="false">
      <c r="A54" s="6" t="s">
        <v>129</v>
      </c>
      <c r="B54" s="6" t="s">
        <v>134</v>
      </c>
      <c r="C54" s="6" t="s">
        <v>135</v>
      </c>
      <c r="D54" s="6" t="n">
        <v>28821</v>
      </c>
      <c r="E54" s="6" t="n">
        <v>12</v>
      </c>
      <c r="F54" s="6" t="n">
        <v>16400</v>
      </c>
      <c r="G54" s="6" t="n">
        <v>45221</v>
      </c>
    </row>
    <row r="55" customFormat="false" ht="15" hidden="false" customHeight="true" outlineLevel="0" collapsed="false">
      <c r="A55" s="6" t="s">
        <v>129</v>
      </c>
      <c r="B55" s="6" t="s">
        <v>136</v>
      </c>
      <c r="C55" s="6" t="s">
        <v>137</v>
      </c>
      <c r="D55" s="6" t="n">
        <v>51251</v>
      </c>
      <c r="E55" s="6" t="n">
        <v>24</v>
      </c>
      <c r="F55" s="6" t="n">
        <v>39060</v>
      </c>
      <c r="G55" s="6" t="n">
        <v>90310</v>
      </c>
    </row>
    <row r="56" customFormat="false" ht="23.25" hidden="false" customHeight="true" outlineLevel="0" collapsed="false">
      <c r="A56" s="6" t="s">
        <v>129</v>
      </c>
      <c r="B56" s="6" t="s">
        <v>138</v>
      </c>
      <c r="C56" s="6" t="s">
        <v>139</v>
      </c>
      <c r="D56" s="6" t="n">
        <v>29384</v>
      </c>
      <c r="E56" s="6" t="n">
        <v>12</v>
      </c>
      <c r="F56" s="6" t="n">
        <v>19134</v>
      </c>
      <c r="G56" s="6" t="n">
        <v>48517</v>
      </c>
    </row>
    <row r="57" customFormat="false" ht="23.25" hidden="false" customHeight="true" outlineLevel="0" collapsed="false">
      <c r="A57" s="6" t="s">
        <v>129</v>
      </c>
      <c r="B57" s="6" t="s">
        <v>140</v>
      </c>
      <c r="C57" s="6" t="s">
        <v>141</v>
      </c>
      <c r="D57" s="6" t="n">
        <v>50225</v>
      </c>
      <c r="E57" s="6" t="n">
        <v>24</v>
      </c>
      <c r="F57" s="6" t="n">
        <v>25056</v>
      </c>
      <c r="G57" s="6" t="n">
        <v>75281</v>
      </c>
    </row>
    <row r="58" customFormat="false" ht="23.25" hidden="false" customHeight="true" outlineLevel="0" collapsed="false">
      <c r="A58" s="6" t="s">
        <v>129</v>
      </c>
      <c r="B58" s="6" t="s">
        <v>142</v>
      </c>
      <c r="C58" s="6" t="s">
        <v>143</v>
      </c>
      <c r="D58" s="6" t="n">
        <v>50567</v>
      </c>
      <c r="E58" s="6" t="n">
        <v>24</v>
      </c>
      <c r="F58" s="6" t="n">
        <v>34017</v>
      </c>
      <c r="G58" s="6" t="n">
        <v>84584</v>
      </c>
    </row>
    <row r="59" customFormat="false" ht="23.25" hidden="false" customHeight="true" outlineLevel="0" collapsed="false">
      <c r="A59" s="6" t="s">
        <v>129</v>
      </c>
      <c r="B59" s="6" t="s">
        <v>144</v>
      </c>
      <c r="C59" s="6" t="s">
        <v>145</v>
      </c>
      <c r="D59" s="6" t="n">
        <v>56717</v>
      </c>
      <c r="E59" s="6" t="n">
        <v>24</v>
      </c>
      <c r="F59" s="6" t="n">
        <v>24600</v>
      </c>
      <c r="G59" s="6" t="n">
        <v>81317</v>
      </c>
    </row>
    <row r="60" customFormat="false" ht="15" hidden="false" customHeight="true" outlineLevel="0" collapsed="false">
      <c r="A60" s="6" t="s">
        <v>129</v>
      </c>
      <c r="B60" s="6" t="s">
        <v>146</v>
      </c>
      <c r="C60" s="6" t="s">
        <v>147</v>
      </c>
      <c r="D60" s="6" t="n">
        <v>55009</v>
      </c>
      <c r="E60" s="6" t="n">
        <v>24</v>
      </c>
      <c r="F60" s="6" t="n">
        <v>47560</v>
      </c>
      <c r="G60" s="6" t="n">
        <v>102569</v>
      </c>
    </row>
    <row r="61" customFormat="false" ht="23.25" hidden="false" customHeight="true" outlineLevel="0" collapsed="false">
      <c r="A61" s="6" t="s">
        <v>129</v>
      </c>
      <c r="B61" s="6" t="s">
        <v>148</v>
      </c>
      <c r="C61" s="6" t="s">
        <v>149</v>
      </c>
      <c r="D61" s="6" t="n">
        <v>49428</v>
      </c>
      <c r="E61" s="6" t="n">
        <v>24</v>
      </c>
      <c r="F61" s="6" t="n">
        <v>35834</v>
      </c>
      <c r="G61" s="6" t="n">
        <v>85263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14"/>
  </cols>
  <sheetData>
    <row r="1" customFormat="false" ht="23.25" hidden="false" customHeight="true" outlineLevel="0" collapsed="false">
      <c r="A1" s="5" t="s">
        <v>33</v>
      </c>
      <c r="B1" s="5" t="s">
        <v>150</v>
      </c>
      <c r="C1" s="5" t="s">
        <v>151</v>
      </c>
    </row>
    <row r="2" customFormat="false" ht="15" hidden="false" customHeight="true" outlineLevel="0" collapsed="false">
      <c r="A2" s="6" t="s">
        <v>40</v>
      </c>
      <c r="B2" s="6" t="s">
        <v>152</v>
      </c>
      <c r="C2" s="6" t="n">
        <v>56670</v>
      </c>
    </row>
    <row r="3" customFormat="false" ht="15" hidden="false" customHeight="true" outlineLevel="0" collapsed="false">
      <c r="A3" s="6" t="s">
        <v>40</v>
      </c>
      <c r="B3" s="6" t="s">
        <v>153</v>
      </c>
      <c r="C3" s="6" t="n">
        <v>68785</v>
      </c>
    </row>
    <row r="4" customFormat="false" ht="15" hidden="false" customHeight="true" outlineLevel="0" collapsed="false">
      <c r="A4" s="6" t="s">
        <v>74</v>
      </c>
      <c r="B4" s="6" t="s">
        <v>152</v>
      </c>
      <c r="C4" s="6" t="n">
        <v>43056</v>
      </c>
    </row>
    <row r="5" customFormat="false" ht="15" hidden="false" customHeight="true" outlineLevel="0" collapsed="false">
      <c r="A5" s="6" t="s">
        <v>74</v>
      </c>
      <c r="B5" s="6" t="s">
        <v>153</v>
      </c>
      <c r="C5" s="6" t="n">
        <v>50856</v>
      </c>
    </row>
    <row r="6" customFormat="false" ht="15" hidden="false" customHeight="true" outlineLevel="0" collapsed="false">
      <c r="A6" s="6" t="s">
        <v>56</v>
      </c>
      <c r="B6" s="6" t="s">
        <v>152</v>
      </c>
      <c r="C6" s="6" t="n">
        <v>32523</v>
      </c>
    </row>
    <row r="7" customFormat="false" ht="15" hidden="false" customHeight="true" outlineLevel="0" collapsed="false">
      <c r="A7" s="6" t="s">
        <v>56</v>
      </c>
      <c r="B7" s="6" t="s">
        <v>153</v>
      </c>
      <c r="C7" s="6" t="n">
        <v>44249</v>
      </c>
    </row>
    <row r="8" customFormat="false" ht="15" hidden="false" customHeight="true" outlineLevel="0" collapsed="false">
      <c r="A8" s="6" t="s">
        <v>95</v>
      </c>
      <c r="B8" s="6" t="s">
        <v>152</v>
      </c>
      <c r="C8" s="6" t="n">
        <v>45435</v>
      </c>
    </row>
    <row r="9" customFormat="false" ht="15" hidden="false" customHeight="true" outlineLevel="0" collapsed="false">
      <c r="A9" s="6" t="s">
        <v>95</v>
      </c>
      <c r="B9" s="6" t="s">
        <v>153</v>
      </c>
      <c r="C9" s="6" t="n">
        <v>49280</v>
      </c>
    </row>
    <row r="10" customFormat="false" ht="15" hidden="false" customHeight="true" outlineLevel="0" collapsed="false">
      <c r="A10" s="6" t="s">
        <v>110</v>
      </c>
      <c r="B10" s="6" t="s">
        <v>152</v>
      </c>
      <c r="C10" s="6" t="n">
        <v>41467</v>
      </c>
    </row>
    <row r="11" customFormat="false" ht="15" hidden="false" customHeight="true" outlineLevel="0" collapsed="false">
      <c r="A11" s="6" t="s">
        <v>110</v>
      </c>
      <c r="B11" s="6" t="s">
        <v>153</v>
      </c>
      <c r="C11" s="6" t="n">
        <v>46310</v>
      </c>
    </row>
    <row r="12" customFormat="false" ht="15" hidden="false" customHeight="true" outlineLevel="0" collapsed="false">
      <c r="A12" s="6" t="s">
        <v>129</v>
      </c>
      <c r="B12" s="6" t="s">
        <v>152</v>
      </c>
      <c r="C12" s="6" t="n">
        <v>42690</v>
      </c>
    </row>
    <row r="13" customFormat="false" ht="15" hidden="false" customHeight="true" outlineLevel="0" collapsed="false">
      <c r="A13" s="6" t="s">
        <v>129</v>
      </c>
      <c r="B13" s="6" t="s">
        <v>153</v>
      </c>
      <c r="C13" s="6" t="n">
        <v>50320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0"/>
    <col collapsed="false" customWidth="true" hidden="false" outlineLevel="0" max="3" min="3" style="1" width="26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1" min="10" style="1" width="10"/>
  </cols>
  <sheetData>
    <row r="1" customFormat="false" ht="23.25" hidden="false" customHeight="true" outlineLevel="0" collapsed="false">
      <c r="A1" s="5" t="s">
        <v>33</v>
      </c>
      <c r="B1" s="5" t="s">
        <v>34</v>
      </c>
      <c r="C1" s="5" t="s">
        <v>35</v>
      </c>
      <c r="D1" s="5" t="s">
        <v>150</v>
      </c>
      <c r="E1" s="5" t="s">
        <v>36</v>
      </c>
      <c r="F1" s="5" t="s">
        <v>39</v>
      </c>
      <c r="G1" s="5" t="s">
        <v>154</v>
      </c>
      <c r="H1" s="5" t="s">
        <v>155</v>
      </c>
      <c r="I1" s="5" t="s">
        <v>156</v>
      </c>
      <c r="J1" s="5" t="s">
        <v>157</v>
      </c>
      <c r="K1" s="5" t="s">
        <v>158</v>
      </c>
    </row>
    <row r="2" customFormat="false" ht="15" hidden="false" customHeight="true" outlineLevel="0" collapsed="false">
      <c r="A2" s="7" t="str">
        <f aca="false">Tuition_Data!A2</f>
        <v>United States</v>
      </c>
      <c r="B2" s="7" t="str">
        <f aca="false">Tuition_Data!B2</f>
        <v>Business Analytics</v>
      </c>
      <c r="C2" s="7" t="str">
        <f aca="false">Tuition_Data!C2</f>
        <v>MIT</v>
      </c>
      <c r="D2" s="7" t="s">
        <v>152</v>
      </c>
      <c r="E2" s="7" t="n">
        <f aca="false">Tuition_Data!D2</f>
        <v>96884</v>
      </c>
      <c r="F2" s="7" t="n">
        <f aca="false">Tuition_Data!G2</f>
        <v>151004</v>
      </c>
      <c r="G2" s="7" t="n">
        <f aca="false">SUMIFS(Salary_Data!$C$2:$C$13,Salary_Data!$A$2:$A$13,A2,Salary_Data!$B$2:$B$13,D2)</f>
        <v>56670</v>
      </c>
      <c r="H2" s="8" t="n">
        <f aca="false">E2/G2</f>
        <v>1.70961708134816</v>
      </c>
      <c r="I2" s="8" t="n">
        <f aca="false">F2/G2</f>
        <v>2.66461972825128</v>
      </c>
      <c r="J2" s="9" t="n">
        <f aca="false">((5*G2-F2)/F2)*100</f>
        <v>87.6440359195783</v>
      </c>
      <c r="K2" s="9" t="n">
        <f aca="false">((10*G2-F2)/F2)*100</f>
        <v>275.288071839157</v>
      </c>
    </row>
    <row r="3" customFormat="false" ht="15" hidden="false" customHeight="true" outlineLevel="0" collapsed="false">
      <c r="A3" s="7" t="str">
        <f aca="false">Tuition_Data!A2</f>
        <v>United States</v>
      </c>
      <c r="B3" s="7" t="str">
        <f aca="false">Tuition_Data!B2</f>
        <v>Business Analytics</v>
      </c>
      <c r="C3" s="7" t="str">
        <f aca="false">Tuition_Data!C2</f>
        <v>MIT</v>
      </c>
      <c r="D3" s="7" t="s">
        <v>153</v>
      </c>
      <c r="E3" s="7" t="n">
        <f aca="false">Tuition_Data!D2</f>
        <v>96884</v>
      </c>
      <c r="F3" s="7" t="n">
        <f aca="false">Tuition_Data!G2</f>
        <v>151004</v>
      </c>
      <c r="G3" s="7" t="n">
        <f aca="false">SUMIFS(Salary_Data!$C$2:$C$13,Salary_Data!$A$2:$A$13,A3,Salary_Data!$B$2:$B$13,D3)</f>
        <v>68785</v>
      </c>
      <c r="H3" s="8" t="n">
        <f aca="false">E3/G3</f>
        <v>1.40850476121247</v>
      </c>
      <c r="I3" s="8" t="n">
        <f aca="false">F3/G3</f>
        <v>2.19530420876645</v>
      </c>
      <c r="J3" s="9" t="n">
        <f aca="false">((5*G3-F3)/F3)*100</f>
        <v>127.758867314773</v>
      </c>
      <c r="K3" s="9" t="n">
        <f aca="false">((10*G3-F3)/F3)*100</f>
        <v>355.517734629546</v>
      </c>
    </row>
    <row r="4" customFormat="false" ht="15" hidden="false" customHeight="true" outlineLevel="0" collapsed="false">
      <c r="A4" s="7" t="str">
        <f aca="false">Tuition_Data!A3</f>
        <v>United States</v>
      </c>
      <c r="B4" s="7" t="str">
        <f aca="false">Tuition_Data!B3</f>
        <v>Statistics &amp; Data Science</v>
      </c>
      <c r="C4" s="7" t="str">
        <f aca="false">Tuition_Data!C3</f>
        <v>Stanford University</v>
      </c>
      <c r="D4" s="7" t="s">
        <v>152</v>
      </c>
      <c r="E4" s="7" t="n">
        <f aca="false">Tuition_Data!D3</f>
        <v>70900</v>
      </c>
      <c r="F4" s="7" t="n">
        <f aca="false">Tuition_Data!G3</f>
        <v>160927</v>
      </c>
      <c r="G4" s="7" t="n">
        <f aca="false">SUMIFS(Salary_Data!$C$2:$C$13,Salary_Data!$A$2:$A$13,A4,Salary_Data!$B$2:$B$13,D4)</f>
        <v>56670</v>
      </c>
      <c r="H4" s="8" t="n">
        <f aca="false">E4/G4</f>
        <v>1.25110287630139</v>
      </c>
      <c r="I4" s="8" t="n">
        <f aca="false">F4/G4</f>
        <v>2.83972119287101</v>
      </c>
      <c r="J4" s="9" t="n">
        <f aca="false">((5*G4-F4)/F4)*100</f>
        <v>76.0736234441703</v>
      </c>
      <c r="K4" s="9" t="n">
        <f aca="false">((10*G4-F4)/F4)*100</f>
        <v>252.147246888341</v>
      </c>
    </row>
    <row r="5" customFormat="false" ht="15" hidden="false" customHeight="true" outlineLevel="0" collapsed="false">
      <c r="A5" s="7" t="str">
        <f aca="false">Tuition_Data!A3</f>
        <v>United States</v>
      </c>
      <c r="B5" s="7" t="str">
        <f aca="false">Tuition_Data!B3</f>
        <v>Statistics &amp; Data Science</v>
      </c>
      <c r="C5" s="7" t="str">
        <f aca="false">Tuition_Data!C3</f>
        <v>Stanford University</v>
      </c>
      <c r="D5" s="7" t="s">
        <v>153</v>
      </c>
      <c r="E5" s="7" t="n">
        <f aca="false">Tuition_Data!D3</f>
        <v>70900</v>
      </c>
      <c r="F5" s="7" t="n">
        <f aca="false">Tuition_Data!G3</f>
        <v>160927</v>
      </c>
      <c r="G5" s="7" t="n">
        <f aca="false">SUMIFS(Salary_Data!$C$2:$C$13,Salary_Data!$A$2:$A$13,A5,Salary_Data!$B$2:$B$13,D5)</f>
        <v>68785</v>
      </c>
      <c r="H5" s="8" t="n">
        <f aca="false">E5/G5</f>
        <v>1.0307479828451</v>
      </c>
      <c r="I5" s="8" t="n">
        <f aca="false">F5/G5</f>
        <v>2.3395653122047</v>
      </c>
      <c r="J5" s="9" t="n">
        <f aca="false">((5*G5-F5)/F5)*100</f>
        <v>113.714914215762</v>
      </c>
      <c r="K5" s="9" t="n">
        <f aca="false">((10*G5-F5)/F5)*100</f>
        <v>327.429828431525</v>
      </c>
    </row>
    <row r="6" customFormat="false" ht="15" hidden="false" customHeight="true" outlineLevel="0" collapsed="false">
      <c r="A6" s="7" t="str">
        <f aca="false">Tuition_Data!A4</f>
        <v>United States</v>
      </c>
      <c r="B6" s="7" t="str">
        <f aca="false">Tuition_Data!B4</f>
        <v>Data Science</v>
      </c>
      <c r="C6" s="7" t="str">
        <f aca="false">Tuition_Data!C4</f>
        <v>Harvard University</v>
      </c>
      <c r="D6" s="7" t="s">
        <v>152</v>
      </c>
      <c r="E6" s="7" t="n">
        <f aca="false">Tuition_Data!D4</f>
        <v>101256</v>
      </c>
      <c r="F6" s="7" t="n">
        <f aca="false">Tuition_Data!G4</f>
        <v>164501</v>
      </c>
      <c r="G6" s="7" t="n">
        <f aca="false">SUMIFS(Salary_Data!$C$2:$C$13,Salary_Data!$A$2:$A$13,A6,Salary_Data!$B$2:$B$13,D6)</f>
        <v>56670</v>
      </c>
      <c r="H6" s="8" t="n">
        <f aca="false">E6/G6</f>
        <v>1.78676548438327</v>
      </c>
      <c r="I6" s="8" t="n">
        <f aca="false">F6/G6</f>
        <v>2.90278807128992</v>
      </c>
      <c r="J6" s="9" t="n">
        <f aca="false">((5*G6-F6)/F6)*100</f>
        <v>72.2481930201032</v>
      </c>
      <c r="K6" s="9" t="n">
        <f aca="false">((10*G6-F6)/F6)*100</f>
        <v>244.496386040206</v>
      </c>
    </row>
    <row r="7" customFormat="false" ht="15" hidden="false" customHeight="true" outlineLevel="0" collapsed="false">
      <c r="A7" s="7" t="str">
        <f aca="false">Tuition_Data!A4</f>
        <v>United States</v>
      </c>
      <c r="B7" s="7" t="str">
        <f aca="false">Tuition_Data!B4</f>
        <v>Data Science</v>
      </c>
      <c r="C7" s="7" t="str">
        <f aca="false">Tuition_Data!C4</f>
        <v>Harvard University</v>
      </c>
      <c r="D7" s="7" t="s">
        <v>153</v>
      </c>
      <c r="E7" s="7" t="n">
        <f aca="false">Tuition_Data!D4</f>
        <v>101256</v>
      </c>
      <c r="F7" s="7" t="n">
        <f aca="false">Tuition_Data!G4</f>
        <v>164501</v>
      </c>
      <c r="G7" s="7" t="n">
        <f aca="false">SUMIFS(Salary_Data!$C$2:$C$13,Salary_Data!$A$2:$A$13,A7,Salary_Data!$B$2:$B$13,D7)</f>
        <v>68785</v>
      </c>
      <c r="H7" s="8" t="n">
        <f aca="false">E7/G7</f>
        <v>1.47206513047903</v>
      </c>
      <c r="I7" s="8" t="n">
        <f aca="false">F7/G7</f>
        <v>2.39152431489424</v>
      </c>
      <c r="J7" s="9" t="n">
        <f aca="false">((5*G7-F7)/F7)*100</f>
        <v>109.071677375821</v>
      </c>
      <c r="K7" s="9" t="n">
        <f aca="false">((10*G7-F7)/F7)*100</f>
        <v>318.143354751643</v>
      </c>
    </row>
    <row r="8" customFormat="false" ht="15" hidden="false" customHeight="true" outlineLevel="0" collapsed="false">
      <c r="A8" s="7" t="str">
        <f aca="false">Tuition_Data!A5</f>
        <v>United States</v>
      </c>
      <c r="B8" s="7" t="str">
        <f aca="false">Tuition_Data!B5</f>
        <v>Data Science</v>
      </c>
      <c r="C8" s="7" t="str">
        <f aca="false">Tuition_Data!C5</f>
        <v>University of Pennsylvania</v>
      </c>
      <c r="D8" s="7" t="s">
        <v>152</v>
      </c>
      <c r="E8" s="7" t="n">
        <f aca="false">Tuition_Data!D5</f>
        <v>88250</v>
      </c>
      <c r="F8" s="7" t="n">
        <f aca="false">Tuition_Data!G5</f>
        <v>151784</v>
      </c>
      <c r="G8" s="7" t="n">
        <f aca="false">SUMIFS(Salary_Data!$C$2:$C$13,Salary_Data!$A$2:$A$13,A8,Salary_Data!$B$2:$B$13,D8)</f>
        <v>56670</v>
      </c>
      <c r="H8" s="8" t="n">
        <f aca="false">E8/G8</f>
        <v>1.55726133756838</v>
      </c>
      <c r="I8" s="8" t="n">
        <f aca="false">F8/G8</f>
        <v>2.67838362449268</v>
      </c>
      <c r="J8" s="9" t="n">
        <f aca="false">((5*G8-F8)/F8)*100</f>
        <v>86.6797554419438</v>
      </c>
      <c r="K8" s="9" t="n">
        <f aca="false">((10*G8-F8)/F8)*100</f>
        <v>273.359510883888</v>
      </c>
    </row>
    <row r="9" customFormat="false" ht="15" hidden="false" customHeight="true" outlineLevel="0" collapsed="false">
      <c r="A9" s="7" t="str">
        <f aca="false">Tuition_Data!A5</f>
        <v>United States</v>
      </c>
      <c r="B9" s="7" t="str">
        <f aca="false">Tuition_Data!B5</f>
        <v>Data Science</v>
      </c>
      <c r="C9" s="7" t="str">
        <f aca="false">Tuition_Data!C5</f>
        <v>University of Pennsylvania</v>
      </c>
      <c r="D9" s="7" t="s">
        <v>153</v>
      </c>
      <c r="E9" s="7" t="n">
        <f aca="false">Tuition_Data!D5</f>
        <v>88250</v>
      </c>
      <c r="F9" s="7" t="n">
        <f aca="false">Tuition_Data!G5</f>
        <v>151784</v>
      </c>
      <c r="G9" s="7" t="n">
        <f aca="false">SUMIFS(Salary_Data!$C$2:$C$13,Salary_Data!$A$2:$A$13,A9,Salary_Data!$B$2:$B$13,D9)</f>
        <v>68785</v>
      </c>
      <c r="H9" s="8" t="n">
        <f aca="false">E9/G9</f>
        <v>1.28298320854838</v>
      </c>
      <c r="I9" s="8" t="n">
        <f aca="false">F9/G9</f>
        <v>2.20664389038308</v>
      </c>
      <c r="J9" s="9" t="n">
        <f aca="false">((5*G9-F9)/F9)*100</f>
        <v>126.588441469457</v>
      </c>
      <c r="K9" s="9" t="n">
        <f aca="false">((10*G9-F9)/F9)*100</f>
        <v>353.176882938913</v>
      </c>
    </row>
    <row r="10" customFormat="false" ht="15" hidden="false" customHeight="true" outlineLevel="0" collapsed="false">
      <c r="A10" s="7" t="str">
        <f aca="false">Tuition_Data!A6</f>
        <v>United States</v>
      </c>
      <c r="B10" s="7" t="str">
        <f aca="false">Tuition_Data!B6</f>
        <v>Data Science &amp; Applied Statistics</v>
      </c>
      <c r="C10" s="7" t="str">
        <f aca="false">Tuition_Data!C6</f>
        <v>Cornell University</v>
      </c>
      <c r="D10" s="7" t="s">
        <v>152</v>
      </c>
      <c r="E10" s="7" t="n">
        <f aca="false">Tuition_Data!D6</f>
        <v>73946</v>
      </c>
      <c r="F10" s="7" t="n">
        <f aca="false">Tuition_Data!G6</f>
        <v>113775</v>
      </c>
      <c r="G10" s="7" t="n">
        <f aca="false">SUMIFS(Salary_Data!$C$2:$C$13,Salary_Data!$A$2:$A$13,A10,Salary_Data!$B$2:$B$13,D10)</f>
        <v>56670</v>
      </c>
      <c r="H10" s="8" t="n">
        <f aca="false">E10/G10</f>
        <v>1.30485265572613</v>
      </c>
      <c r="I10" s="8" t="n">
        <f aca="false">F10/G10</f>
        <v>2.0076760190577</v>
      </c>
      <c r="J10" s="9" t="n">
        <f aca="false">((5*G10-F10)/F10)*100</f>
        <v>149.044166117337</v>
      </c>
      <c r="K10" s="9" t="n">
        <f aca="false">((10*G10-F10)/F10)*100</f>
        <v>398.088332234674</v>
      </c>
    </row>
    <row r="11" customFormat="false" ht="15" hidden="false" customHeight="true" outlineLevel="0" collapsed="false">
      <c r="A11" s="7" t="str">
        <f aca="false">Tuition_Data!A6</f>
        <v>United States</v>
      </c>
      <c r="B11" s="7" t="str">
        <f aca="false">Tuition_Data!B6</f>
        <v>Data Science &amp; Applied Statistics</v>
      </c>
      <c r="C11" s="7" t="str">
        <f aca="false">Tuition_Data!C6</f>
        <v>Cornell University</v>
      </c>
      <c r="D11" s="7" t="s">
        <v>153</v>
      </c>
      <c r="E11" s="7" t="n">
        <f aca="false">Tuition_Data!D6</f>
        <v>73946</v>
      </c>
      <c r="F11" s="7" t="n">
        <f aca="false">Tuition_Data!G6</f>
        <v>113775</v>
      </c>
      <c r="G11" s="7" t="n">
        <f aca="false">SUMIFS(Salary_Data!$C$2:$C$13,Salary_Data!$A$2:$A$13,A11,Salary_Data!$B$2:$B$13,D11)</f>
        <v>68785</v>
      </c>
      <c r="H11" s="8" t="n">
        <f aca="false">E11/G11</f>
        <v>1.07503089336338</v>
      </c>
      <c r="I11" s="8" t="n">
        <f aca="false">F11/G11</f>
        <v>1.65406702042596</v>
      </c>
      <c r="J11" s="9" t="n">
        <f aca="false">((5*G11-F11)/F11)*100</f>
        <v>202.28521204131</v>
      </c>
      <c r="K11" s="9" t="n">
        <f aca="false">((10*G11-F11)/F11)*100</f>
        <v>504.570424082619</v>
      </c>
    </row>
    <row r="12" customFormat="false" ht="15" hidden="false" customHeight="true" outlineLevel="0" collapsed="false">
      <c r="A12" s="7" t="str">
        <f aca="false">Tuition_Data!A7</f>
        <v>United States</v>
      </c>
      <c r="B12" s="7" t="str">
        <f aca="false">Tuition_Data!B7</f>
        <v>Statistics &amp; Data Science</v>
      </c>
      <c r="C12" s="7" t="str">
        <f aca="false">Tuition_Data!C7</f>
        <v>Yale University</v>
      </c>
      <c r="D12" s="7" t="s">
        <v>152</v>
      </c>
      <c r="E12" s="7" t="n">
        <f aca="false">Tuition_Data!D7</f>
        <v>78600</v>
      </c>
      <c r="F12" s="7" t="n">
        <f aca="false">Tuition_Data!G7</f>
        <v>136625</v>
      </c>
      <c r="G12" s="7" t="n">
        <f aca="false">SUMIFS(Salary_Data!$C$2:$C$13,Salary_Data!$A$2:$A$13,A12,Salary_Data!$B$2:$B$13,D12)</f>
        <v>56670</v>
      </c>
      <c r="H12" s="8" t="n">
        <f aca="false">E12/G12</f>
        <v>1.38697723663314</v>
      </c>
      <c r="I12" s="8" t="n">
        <f aca="false">F12/G12</f>
        <v>2.41088759484736</v>
      </c>
      <c r="J12" s="9" t="n">
        <f aca="false">((5*G12-F12)/F12)*100</f>
        <v>107.392497712717</v>
      </c>
      <c r="K12" s="9" t="n">
        <f aca="false">((10*G12-F12)/F12)*100</f>
        <v>314.784995425435</v>
      </c>
    </row>
    <row r="13" customFormat="false" ht="15" hidden="false" customHeight="true" outlineLevel="0" collapsed="false">
      <c r="A13" s="7" t="str">
        <f aca="false">Tuition_Data!A7</f>
        <v>United States</v>
      </c>
      <c r="B13" s="7" t="str">
        <f aca="false">Tuition_Data!B7</f>
        <v>Statistics &amp; Data Science</v>
      </c>
      <c r="C13" s="7" t="str">
        <f aca="false">Tuition_Data!C7</f>
        <v>Yale University</v>
      </c>
      <c r="D13" s="7" t="s">
        <v>153</v>
      </c>
      <c r="E13" s="7" t="n">
        <f aca="false">Tuition_Data!D7</f>
        <v>78600</v>
      </c>
      <c r="F13" s="7" t="n">
        <f aca="false">Tuition_Data!G7</f>
        <v>136625</v>
      </c>
      <c r="G13" s="7" t="n">
        <f aca="false">SUMIFS(Salary_Data!$C$2:$C$13,Salary_Data!$A$2:$A$13,A13,Salary_Data!$B$2:$B$13,D13)</f>
        <v>68785</v>
      </c>
      <c r="H13" s="8" t="n">
        <f aca="false">E13/G13</f>
        <v>1.14269099367595</v>
      </c>
      <c r="I13" s="8" t="n">
        <f aca="false">F13/G13</f>
        <v>1.98626153957985</v>
      </c>
      <c r="J13" s="9" t="n">
        <f aca="false">((5*G13-F13)/F13)*100</f>
        <v>151.729185727356</v>
      </c>
      <c r="K13" s="9" t="n">
        <f aca="false">((10*G13-F13)/F13)*100</f>
        <v>403.458371454712</v>
      </c>
    </row>
    <row r="14" customFormat="false" ht="15" hidden="false" customHeight="true" outlineLevel="0" collapsed="false">
      <c r="A14" s="7" t="str">
        <f aca="false">Tuition_Data!A8</f>
        <v>United States</v>
      </c>
      <c r="B14" s="7" t="str">
        <f aca="false">Tuition_Data!B8</f>
        <v>Data Science</v>
      </c>
      <c r="C14" s="7" t="str">
        <f aca="false">Tuition_Data!C8</f>
        <v>Johns Hopkins University</v>
      </c>
      <c r="D14" s="7" t="s">
        <v>152</v>
      </c>
      <c r="E14" s="7" t="n">
        <f aca="false">Tuition_Data!D8</f>
        <v>103005</v>
      </c>
      <c r="F14" s="7" t="n">
        <f aca="false">Tuition_Data!G8</f>
        <v>152066</v>
      </c>
      <c r="G14" s="7" t="n">
        <f aca="false">SUMIFS(Salary_Data!$C$2:$C$13,Salary_Data!$A$2:$A$13,A14,Salary_Data!$B$2:$B$13,D14)</f>
        <v>56670</v>
      </c>
      <c r="H14" s="8" t="n">
        <f aca="false">E14/G14</f>
        <v>1.81762837480148</v>
      </c>
      <c r="I14" s="8" t="n">
        <f aca="false">F14/G14</f>
        <v>2.68335980236457</v>
      </c>
      <c r="J14" s="9" t="n">
        <f aca="false">((5*G14-F14)/F14)*100</f>
        <v>86.3335656885826</v>
      </c>
      <c r="K14" s="9" t="n">
        <f aca="false">((10*G14-F14)/F14)*100</f>
        <v>272.667131377165</v>
      </c>
    </row>
    <row r="15" customFormat="false" ht="15" hidden="false" customHeight="true" outlineLevel="0" collapsed="false">
      <c r="A15" s="7" t="str">
        <f aca="false">Tuition_Data!A8</f>
        <v>United States</v>
      </c>
      <c r="B15" s="7" t="str">
        <f aca="false">Tuition_Data!B8</f>
        <v>Data Science</v>
      </c>
      <c r="C15" s="7" t="str">
        <f aca="false">Tuition_Data!C8</f>
        <v>Johns Hopkins University</v>
      </c>
      <c r="D15" s="7" t="s">
        <v>153</v>
      </c>
      <c r="E15" s="7" t="n">
        <f aca="false">Tuition_Data!D8</f>
        <v>103005</v>
      </c>
      <c r="F15" s="7" t="n">
        <f aca="false">Tuition_Data!G8</f>
        <v>152066</v>
      </c>
      <c r="G15" s="7" t="n">
        <f aca="false">SUMIFS(Salary_Data!$C$2:$C$13,Salary_Data!$A$2:$A$13,A15,Salary_Data!$B$2:$B$13,D15)</f>
        <v>68785</v>
      </c>
      <c r="H15" s="8" t="n">
        <f aca="false">E15/G15</f>
        <v>1.49749218579632</v>
      </c>
      <c r="I15" s="8" t="n">
        <f aca="false">F15/G15</f>
        <v>2.21074362142909</v>
      </c>
      <c r="J15" s="9" t="n">
        <f aca="false">((5*G15-F15)/F15)*100</f>
        <v>126.168242736706</v>
      </c>
      <c r="K15" s="9" t="n">
        <f aca="false">((10*G15-F15)/F15)*100</f>
        <v>352.336485473413</v>
      </c>
    </row>
    <row r="16" customFormat="false" ht="15" hidden="false" customHeight="true" outlineLevel="0" collapsed="false">
      <c r="A16" s="7" t="str">
        <f aca="false">Tuition_Data!A9</f>
        <v>United States</v>
      </c>
      <c r="B16" s="7" t="str">
        <f aca="false">Tuition_Data!B9</f>
        <v>Statistics &amp; Data Science</v>
      </c>
      <c r="C16" s="7" t="str">
        <f aca="false">Tuition_Data!C9</f>
        <v>University of California, Berkeley</v>
      </c>
      <c r="D16" s="7" t="s">
        <v>152</v>
      </c>
      <c r="E16" s="7" t="n">
        <f aca="false">Tuition_Data!D9</f>
        <v>55285</v>
      </c>
      <c r="F16" s="7" t="n">
        <f aca="false">Tuition_Data!G9</f>
        <v>93757</v>
      </c>
      <c r="G16" s="7" t="n">
        <f aca="false">SUMIFS(Salary_Data!$C$2:$C$13,Salary_Data!$A$2:$A$13,A16,Salary_Data!$B$2:$B$13,D16)</f>
        <v>56670</v>
      </c>
      <c r="H16" s="8" t="n">
        <f aca="false">E16/G16</f>
        <v>0.975560261161108</v>
      </c>
      <c r="I16" s="8" t="n">
        <f aca="false">F16/G16</f>
        <v>1.65443797423681</v>
      </c>
      <c r="J16" s="9" t="n">
        <f aca="false">((5*G16-F16)/F16)*100</f>
        <v>202.217434431562</v>
      </c>
      <c r="K16" s="9" t="n">
        <f aca="false">((10*G16-F16)/F16)*100</f>
        <v>504.434868863125</v>
      </c>
    </row>
    <row r="17" customFormat="false" ht="15" hidden="false" customHeight="true" outlineLevel="0" collapsed="false">
      <c r="A17" s="7" t="str">
        <f aca="false">Tuition_Data!A9</f>
        <v>United States</v>
      </c>
      <c r="B17" s="7" t="str">
        <f aca="false">Tuition_Data!B9</f>
        <v>Statistics &amp; Data Science</v>
      </c>
      <c r="C17" s="7" t="str">
        <f aca="false">Tuition_Data!C9</f>
        <v>University of California, Berkeley</v>
      </c>
      <c r="D17" s="7" t="s">
        <v>153</v>
      </c>
      <c r="E17" s="7" t="n">
        <f aca="false">Tuition_Data!D9</f>
        <v>55285</v>
      </c>
      <c r="F17" s="7" t="n">
        <f aca="false">Tuition_Data!G9</f>
        <v>93757</v>
      </c>
      <c r="G17" s="7" t="n">
        <f aca="false">SUMIFS(Salary_Data!$C$2:$C$13,Salary_Data!$A$2:$A$13,A17,Salary_Data!$B$2:$B$13,D17)</f>
        <v>68785</v>
      </c>
      <c r="H17" s="8" t="n">
        <f aca="false">E17/G17</f>
        <v>0.803736279712147</v>
      </c>
      <c r="I17" s="8" t="n">
        <f aca="false">F17/G17</f>
        <v>1.36304426837246</v>
      </c>
      <c r="J17" s="9" t="n">
        <f aca="false">((5*G17-F17)/F17)*100</f>
        <v>266.825943662873</v>
      </c>
      <c r="K17" s="9" t="n">
        <f aca="false">((10*G17-F17)/F17)*100</f>
        <v>633.651887325746</v>
      </c>
    </row>
    <row r="18" customFormat="false" ht="15" hidden="false" customHeight="true" outlineLevel="0" collapsed="false">
      <c r="A18" s="7" t="str">
        <f aca="false">Tuition_Data!A10</f>
        <v>United States</v>
      </c>
      <c r="B18" s="7" t="str">
        <f aca="false">Tuition_Data!B10</f>
        <v>Applied Data Science</v>
      </c>
      <c r="C18" s="7" t="str">
        <f aca="false">Tuition_Data!C10</f>
        <v>University of Chicago</v>
      </c>
      <c r="D18" s="7" t="s">
        <v>152</v>
      </c>
      <c r="E18" s="7" t="n">
        <f aca="false">Tuition_Data!D10</f>
        <v>76608</v>
      </c>
      <c r="F18" s="7" t="n">
        <f aca="false">Tuition_Data!G10</f>
        <v>122905</v>
      </c>
      <c r="G18" s="7" t="n">
        <f aca="false">SUMIFS(Salary_Data!$C$2:$C$13,Salary_Data!$A$2:$A$13,A18,Salary_Data!$B$2:$B$13,D18)</f>
        <v>56670</v>
      </c>
      <c r="H18" s="8" t="n">
        <f aca="false">E18/G18</f>
        <v>1.35182636315511</v>
      </c>
      <c r="I18" s="8" t="n">
        <f aca="false">F18/G18</f>
        <v>2.16878418916534</v>
      </c>
      <c r="J18" s="9" t="n">
        <f aca="false">((5*G18-F18)/F18)*100</f>
        <v>130.543916032708</v>
      </c>
      <c r="K18" s="9" t="n">
        <f aca="false">((10*G18-F18)/F18)*100</f>
        <v>361.087832065416</v>
      </c>
    </row>
    <row r="19" customFormat="false" ht="15" hidden="false" customHeight="true" outlineLevel="0" collapsed="false">
      <c r="A19" s="7" t="str">
        <f aca="false">Tuition_Data!A10</f>
        <v>United States</v>
      </c>
      <c r="B19" s="7" t="str">
        <f aca="false">Tuition_Data!B10</f>
        <v>Applied Data Science</v>
      </c>
      <c r="C19" s="7" t="str">
        <f aca="false">Tuition_Data!C10</f>
        <v>University of Chicago</v>
      </c>
      <c r="D19" s="7" t="s">
        <v>153</v>
      </c>
      <c r="E19" s="7" t="n">
        <f aca="false">Tuition_Data!D10</f>
        <v>76608</v>
      </c>
      <c r="F19" s="7" t="n">
        <f aca="false">Tuition_Data!G10</f>
        <v>122905</v>
      </c>
      <c r="G19" s="7" t="n">
        <f aca="false">SUMIFS(Salary_Data!$C$2:$C$13,Salary_Data!$A$2:$A$13,A19,Salary_Data!$B$2:$B$13,D19)</f>
        <v>68785</v>
      </c>
      <c r="H19" s="8" t="n">
        <f aca="false">E19/G19</f>
        <v>1.11373119139347</v>
      </c>
      <c r="I19" s="8" t="n">
        <f aca="false">F19/G19</f>
        <v>1.78679944755397</v>
      </c>
      <c r="J19" s="9" t="n">
        <f aca="false">((5*G19-F19)/F19)*100</f>
        <v>179.829949961352</v>
      </c>
      <c r="K19" s="9" t="n">
        <f aca="false">((10*G19-F19)/F19)*100</f>
        <v>459.659899922705</v>
      </c>
    </row>
    <row r="20" customFormat="false" ht="15" hidden="false" customHeight="true" outlineLevel="0" collapsed="false">
      <c r="A20" s="7" t="str">
        <f aca="false">Tuition_Data!A11</f>
        <v>United States</v>
      </c>
      <c r="B20" s="7" t="str">
        <f aca="false">Tuition_Data!B11</f>
        <v>Data Science</v>
      </c>
      <c r="C20" s="7" t="str">
        <f aca="false">Tuition_Data!C11</f>
        <v>Columbia University</v>
      </c>
      <c r="D20" s="7" t="s">
        <v>152</v>
      </c>
      <c r="E20" s="7" t="n">
        <f aca="false">Tuition_Data!D11</f>
        <v>84660</v>
      </c>
      <c r="F20" s="7" t="n">
        <f aca="false">Tuition_Data!G11</f>
        <v>134697</v>
      </c>
      <c r="G20" s="7" t="n">
        <f aca="false">SUMIFS(Salary_Data!$C$2:$C$13,Salary_Data!$A$2:$A$13,A20,Salary_Data!$B$2:$B$13,D20)</f>
        <v>56670</v>
      </c>
      <c r="H20" s="8" t="n">
        <f aca="false">E20/G20</f>
        <v>1.49391212281631</v>
      </c>
      <c r="I20" s="8" t="n">
        <f aca="false">F20/G20</f>
        <v>2.37686606670196</v>
      </c>
      <c r="J20" s="9" t="n">
        <f aca="false">((5*G20-F20)/F20)*100</f>
        <v>110.3610325397</v>
      </c>
      <c r="K20" s="9" t="n">
        <f aca="false">((10*G20-F20)/F20)*100</f>
        <v>320.7220650794</v>
      </c>
    </row>
    <row r="21" customFormat="false" ht="15" hidden="false" customHeight="true" outlineLevel="0" collapsed="false">
      <c r="A21" s="7" t="str">
        <f aca="false">Tuition_Data!A11</f>
        <v>United States</v>
      </c>
      <c r="B21" s="7" t="str">
        <f aca="false">Tuition_Data!B11</f>
        <v>Data Science</v>
      </c>
      <c r="C21" s="7" t="str">
        <f aca="false">Tuition_Data!C11</f>
        <v>Columbia University</v>
      </c>
      <c r="D21" s="7" t="s">
        <v>153</v>
      </c>
      <c r="E21" s="7" t="n">
        <f aca="false">Tuition_Data!D11</f>
        <v>84660</v>
      </c>
      <c r="F21" s="7" t="n">
        <f aca="false">Tuition_Data!G11</f>
        <v>134697</v>
      </c>
      <c r="G21" s="7" t="n">
        <f aca="false">SUMIFS(Salary_Data!$C$2:$C$13,Salary_Data!$A$2:$A$13,A21,Salary_Data!$B$2:$B$13,D21)</f>
        <v>68785</v>
      </c>
      <c r="H21" s="8" t="n">
        <f aca="false">E21/G21</f>
        <v>1.23079159700516</v>
      </c>
      <c r="I21" s="8" t="n">
        <f aca="false">F21/G21</f>
        <v>1.95823217271207</v>
      </c>
      <c r="J21" s="9" t="n">
        <f aca="false">((5*G21-F21)/F21)*100</f>
        <v>155.33233850791</v>
      </c>
      <c r="K21" s="9" t="n">
        <f aca="false">((10*G21-F21)/F21)*100</f>
        <v>410.664677015821</v>
      </c>
    </row>
    <row r="22" customFormat="false" ht="15" hidden="false" customHeight="true" outlineLevel="0" collapsed="false">
      <c r="A22" s="7" t="str">
        <f aca="false">Tuition_Data!A12</f>
        <v>United Kingdom</v>
      </c>
      <c r="B22" s="7" t="str">
        <f aca="false">Tuition_Data!B12</f>
        <v>MSc Statistics (Data Science and Machine Learning)</v>
      </c>
      <c r="C22" s="7" t="str">
        <f aca="false">Tuition_Data!C12</f>
        <v>Imperial College London</v>
      </c>
      <c r="D22" s="7" t="s">
        <v>152</v>
      </c>
      <c r="E22" s="7" t="n">
        <f aca="false">Tuition_Data!D12</f>
        <v>53134</v>
      </c>
      <c r="F22" s="7" t="n">
        <f aca="false">Tuition_Data!G12</f>
        <v>82580</v>
      </c>
      <c r="G22" s="7" t="n">
        <f aca="false">SUMIFS(Salary_Data!$C$2:$C$13,Salary_Data!$A$2:$A$13,A22,Salary_Data!$B$2:$B$13,D22)</f>
        <v>32523</v>
      </c>
      <c r="H22" s="8" t="n">
        <f aca="false">E22/G22</f>
        <v>1.6337361252037</v>
      </c>
      <c r="I22" s="8" t="n">
        <f aca="false">F22/G22</f>
        <v>2.5391261568736</v>
      </c>
      <c r="J22" s="9" t="n">
        <f aca="false">((5*G22-F22)/F22)*100</f>
        <v>96.9181399854686</v>
      </c>
      <c r="K22" s="9" t="n">
        <f aca="false">((10*G22-F22)/F22)*100</f>
        <v>293.836279970937</v>
      </c>
    </row>
    <row r="23" customFormat="false" ht="15" hidden="false" customHeight="true" outlineLevel="0" collapsed="false">
      <c r="A23" s="7" t="str">
        <f aca="false">Tuition_Data!A12</f>
        <v>United Kingdom</v>
      </c>
      <c r="B23" s="7" t="str">
        <f aca="false">Tuition_Data!B12</f>
        <v>MSc Statistics (Data Science and Machine Learning)</v>
      </c>
      <c r="C23" s="7" t="str">
        <f aca="false">Tuition_Data!C12</f>
        <v>Imperial College London</v>
      </c>
      <c r="D23" s="7" t="s">
        <v>153</v>
      </c>
      <c r="E23" s="7" t="n">
        <f aca="false">Tuition_Data!D12</f>
        <v>53134</v>
      </c>
      <c r="F23" s="7" t="n">
        <f aca="false">Tuition_Data!G12</f>
        <v>82580</v>
      </c>
      <c r="G23" s="7" t="n">
        <f aca="false">SUMIFS(Salary_Data!$C$2:$C$13,Salary_Data!$A$2:$A$13,A23,Salary_Data!$B$2:$B$13,D23)</f>
        <v>44249</v>
      </c>
      <c r="H23" s="8" t="n">
        <f aca="false">E23/G23</f>
        <v>1.20079549820335</v>
      </c>
      <c r="I23" s="8" t="n">
        <f aca="false">F23/G23</f>
        <v>1.86625686456191</v>
      </c>
      <c r="J23" s="9" t="n">
        <f aca="false">((5*G23-F23)/F23)*100</f>
        <v>167.91596028094</v>
      </c>
      <c r="K23" s="9" t="n">
        <f aca="false">((10*G23-F23)/F23)*100</f>
        <v>435.831920561879</v>
      </c>
    </row>
    <row r="24" customFormat="false" ht="15" hidden="false" customHeight="true" outlineLevel="0" collapsed="false">
      <c r="A24" s="7" t="str">
        <f aca="false">Tuition_Data!A13</f>
        <v>United Kingdom</v>
      </c>
      <c r="B24" s="7" t="str">
        <f aca="false">Tuition_Data!B13</f>
        <v>MSc in Statistical Science</v>
      </c>
      <c r="C24" s="7" t="str">
        <f aca="false">Tuition_Data!C13</f>
        <v>University of Oxford</v>
      </c>
      <c r="D24" s="7" t="s">
        <v>152</v>
      </c>
      <c r="E24" s="7" t="n">
        <f aca="false">Tuition_Data!D13</f>
        <v>58234</v>
      </c>
      <c r="F24" s="7" t="n">
        <f aca="false">Tuition_Data!G13</f>
        <v>87312</v>
      </c>
      <c r="G24" s="7" t="n">
        <f aca="false">SUMIFS(Salary_Data!$C$2:$C$13,Salary_Data!$A$2:$A$13,A24,Salary_Data!$B$2:$B$13,D24)</f>
        <v>32523</v>
      </c>
      <c r="H24" s="8" t="n">
        <f aca="false">E24/G24</f>
        <v>1.7905482274083</v>
      </c>
      <c r="I24" s="8" t="n">
        <f aca="false">F24/G24</f>
        <v>2.68462318974264</v>
      </c>
      <c r="J24" s="9" t="n">
        <f aca="false">((5*G24-F24)/F24)*100</f>
        <v>86.2458768554151</v>
      </c>
      <c r="K24" s="9" t="n">
        <f aca="false">((10*G24-F24)/F24)*100</f>
        <v>272.49175371083</v>
      </c>
    </row>
    <row r="25" customFormat="false" ht="15" hidden="false" customHeight="true" outlineLevel="0" collapsed="false">
      <c r="A25" s="7" t="str">
        <f aca="false">Tuition_Data!A13</f>
        <v>United Kingdom</v>
      </c>
      <c r="B25" s="7" t="str">
        <f aca="false">Tuition_Data!B13</f>
        <v>MSc in Statistical Science</v>
      </c>
      <c r="C25" s="7" t="str">
        <f aca="false">Tuition_Data!C13</f>
        <v>University of Oxford</v>
      </c>
      <c r="D25" s="7" t="s">
        <v>153</v>
      </c>
      <c r="E25" s="7" t="n">
        <f aca="false">Tuition_Data!D13</f>
        <v>58234</v>
      </c>
      <c r="F25" s="7" t="n">
        <f aca="false">Tuition_Data!G13</f>
        <v>87312</v>
      </c>
      <c r="G25" s="7" t="n">
        <f aca="false">SUMIFS(Salary_Data!$C$2:$C$13,Salary_Data!$A$2:$A$13,A25,Salary_Data!$B$2:$B$13,D25)</f>
        <v>44249</v>
      </c>
      <c r="H25" s="8" t="n">
        <f aca="false">E25/G25</f>
        <v>1.31605234016588</v>
      </c>
      <c r="I25" s="8" t="n">
        <f aca="false">F25/G25</f>
        <v>1.97319713439852</v>
      </c>
      <c r="J25" s="9" t="n">
        <f aca="false">((5*G25-F25)/F25)*100</f>
        <v>153.395867692872</v>
      </c>
      <c r="K25" s="9" t="n">
        <f aca="false">((10*G25-F25)/F25)*100</f>
        <v>406.791735385743</v>
      </c>
    </row>
    <row r="26" customFormat="false" ht="15" hidden="false" customHeight="true" outlineLevel="0" collapsed="false">
      <c r="A26" s="7" t="str">
        <f aca="false">Tuition_Data!A14</f>
        <v>United Kingdom</v>
      </c>
      <c r="B26" s="7" t="str">
        <f aca="false">Tuition_Data!B14</f>
        <v>MPhil in Data Intensive Science</v>
      </c>
      <c r="C26" s="7" t="str">
        <f aca="false">Tuition_Data!C14</f>
        <v>University of Cambridge</v>
      </c>
      <c r="D26" s="7" t="s">
        <v>152</v>
      </c>
      <c r="E26" s="7" t="n">
        <f aca="false">Tuition_Data!D14</f>
        <v>52383</v>
      </c>
      <c r="F26" s="7" t="n">
        <f aca="false">Tuition_Data!G14</f>
        <v>75283</v>
      </c>
      <c r="G26" s="7" t="n">
        <f aca="false">SUMIFS(Salary_Data!$C$2:$C$13,Salary_Data!$A$2:$A$13,A26,Salary_Data!$B$2:$B$13,D26)</f>
        <v>32523</v>
      </c>
      <c r="H26" s="8" t="n">
        <f aca="false">E26/G26</f>
        <v>1.6106447744673</v>
      </c>
      <c r="I26" s="8" t="n">
        <f aca="false">F26/G26</f>
        <v>2.31476186083695</v>
      </c>
      <c r="J26" s="9" t="n">
        <f aca="false">((5*G26-F26)/F26)*100</f>
        <v>116.004941354622</v>
      </c>
      <c r="K26" s="9" t="n">
        <f aca="false">((10*G26-F26)/F26)*100</f>
        <v>332.009882709244</v>
      </c>
    </row>
    <row r="27" customFormat="false" ht="15" hidden="false" customHeight="true" outlineLevel="0" collapsed="false">
      <c r="A27" s="7" t="str">
        <f aca="false">Tuition_Data!A14</f>
        <v>United Kingdom</v>
      </c>
      <c r="B27" s="7" t="str">
        <f aca="false">Tuition_Data!B14</f>
        <v>MPhil in Data Intensive Science</v>
      </c>
      <c r="C27" s="7" t="str">
        <f aca="false">Tuition_Data!C14</f>
        <v>University of Cambridge</v>
      </c>
      <c r="D27" s="7" t="s">
        <v>153</v>
      </c>
      <c r="E27" s="7" t="n">
        <f aca="false">Tuition_Data!D14</f>
        <v>52383</v>
      </c>
      <c r="F27" s="7" t="n">
        <f aca="false">Tuition_Data!G14</f>
        <v>75283</v>
      </c>
      <c r="G27" s="7" t="n">
        <f aca="false">SUMIFS(Salary_Data!$C$2:$C$13,Salary_Data!$A$2:$A$13,A27,Salary_Data!$B$2:$B$13,D27)</f>
        <v>44249</v>
      </c>
      <c r="H27" s="8" t="n">
        <f aca="false">E27/G27</f>
        <v>1.18382336323985</v>
      </c>
      <c r="I27" s="8" t="n">
        <f aca="false">F27/G27</f>
        <v>1.70134918303238</v>
      </c>
      <c r="J27" s="9" t="n">
        <f aca="false">((5*G27-F27)/F27)*100</f>
        <v>193.884409494839</v>
      </c>
      <c r="K27" s="9" t="n">
        <f aca="false">((10*G27-F27)/F27)*100</f>
        <v>487.768818989679</v>
      </c>
    </row>
    <row r="28" customFormat="false" ht="15" hidden="false" customHeight="true" outlineLevel="0" collapsed="false">
      <c r="A28" s="7" t="str">
        <f aca="false">Tuition_Data!A15</f>
        <v>United Kingdom</v>
      </c>
      <c r="B28" s="7" t="str">
        <f aca="false">Tuition_Data!B15</f>
        <v>Data Science MSc</v>
      </c>
      <c r="C28" s="7" t="str">
        <f aca="false">Tuition_Data!C15</f>
        <v>UCL</v>
      </c>
      <c r="D28" s="7" t="s">
        <v>152</v>
      </c>
      <c r="E28" s="7" t="n">
        <f aca="false">Tuition_Data!D15</f>
        <v>62189</v>
      </c>
      <c r="F28" s="7" t="n">
        <f aca="false">Tuition_Data!G15</f>
        <v>89856</v>
      </c>
      <c r="G28" s="7" t="n">
        <f aca="false">SUMIFS(Salary_Data!$C$2:$C$13,Salary_Data!$A$2:$A$13,A28,Salary_Data!$B$2:$B$13,D28)</f>
        <v>32523</v>
      </c>
      <c r="H28" s="8" t="n">
        <f aca="false">E28/G28</f>
        <v>1.91215447529441</v>
      </c>
      <c r="I28" s="8" t="n">
        <f aca="false">F28/G28</f>
        <v>2.76284475601882</v>
      </c>
      <c r="J28" s="9" t="n">
        <f aca="false">((5*G28-F28)/F28)*100</f>
        <v>80.972889957265</v>
      </c>
      <c r="K28" s="9" t="n">
        <f aca="false">((10*G28-F28)/F28)*100</f>
        <v>261.94577991453</v>
      </c>
    </row>
    <row r="29" customFormat="false" ht="15" hidden="false" customHeight="true" outlineLevel="0" collapsed="false">
      <c r="A29" s="7" t="str">
        <f aca="false">Tuition_Data!A15</f>
        <v>United Kingdom</v>
      </c>
      <c r="B29" s="7" t="str">
        <f aca="false">Tuition_Data!B15</f>
        <v>Data Science MSc</v>
      </c>
      <c r="C29" s="7" t="str">
        <f aca="false">Tuition_Data!C15</f>
        <v>UCL</v>
      </c>
      <c r="D29" s="7" t="s">
        <v>153</v>
      </c>
      <c r="E29" s="7" t="n">
        <f aca="false">Tuition_Data!D15</f>
        <v>62189</v>
      </c>
      <c r="F29" s="7" t="n">
        <f aca="false">Tuition_Data!G15</f>
        <v>89856</v>
      </c>
      <c r="G29" s="7" t="n">
        <f aca="false">SUMIFS(Salary_Data!$C$2:$C$13,Salary_Data!$A$2:$A$13,A29,Salary_Data!$B$2:$B$13,D29)</f>
        <v>44249</v>
      </c>
      <c r="H29" s="8" t="n">
        <f aca="false">E29/G29</f>
        <v>1.40543289113878</v>
      </c>
      <c r="I29" s="8" t="n">
        <f aca="false">F29/G29</f>
        <v>2.03068995909512</v>
      </c>
      <c r="J29" s="9" t="n">
        <f aca="false">((5*G29-F29)/F29)*100</f>
        <v>146.221732549858</v>
      </c>
      <c r="K29" s="9" t="n">
        <f aca="false">((10*G29-F29)/F29)*100</f>
        <v>392.443465099715</v>
      </c>
    </row>
    <row r="30" customFormat="false" ht="15" hidden="false" customHeight="true" outlineLevel="0" collapsed="false">
      <c r="A30" s="7" t="str">
        <f aca="false">Tuition_Data!A16</f>
        <v>United Kingdom</v>
      </c>
      <c r="B30" s="7" t="str">
        <f aca="false">Tuition_Data!B16</f>
        <v>Data Science MSc</v>
      </c>
      <c r="C30" s="7" t="str">
        <f aca="false">Tuition_Data!C16</f>
        <v>University of Edinburgh</v>
      </c>
      <c r="D30" s="7" t="s">
        <v>152</v>
      </c>
      <c r="E30" s="7" t="n">
        <f aca="false">Tuition_Data!D16</f>
        <v>54465</v>
      </c>
      <c r="F30" s="7" t="n">
        <f aca="false">Tuition_Data!G16</f>
        <v>80140</v>
      </c>
      <c r="G30" s="7" t="n">
        <f aca="false">SUMIFS(Salary_Data!$C$2:$C$13,Salary_Data!$A$2:$A$13,A30,Salary_Data!$B$2:$B$13,D30)</f>
        <v>32523</v>
      </c>
      <c r="H30" s="8" t="n">
        <f aca="false">E30/G30</f>
        <v>1.674661009132</v>
      </c>
      <c r="I30" s="8" t="n">
        <f aca="false">F30/G30</f>
        <v>2.46410232758356</v>
      </c>
      <c r="J30" s="9" t="n">
        <f aca="false">((5*G30-F30)/F30)*100</f>
        <v>102.913651110557</v>
      </c>
      <c r="K30" s="9" t="n">
        <f aca="false">((10*G30-F30)/F30)*100</f>
        <v>305.827302221113</v>
      </c>
    </row>
    <row r="31" customFormat="false" ht="15" hidden="false" customHeight="true" outlineLevel="0" collapsed="false">
      <c r="A31" s="7" t="str">
        <f aca="false">Tuition_Data!A16</f>
        <v>United Kingdom</v>
      </c>
      <c r="B31" s="7" t="str">
        <f aca="false">Tuition_Data!B16</f>
        <v>Data Science MSc</v>
      </c>
      <c r="C31" s="7" t="str">
        <f aca="false">Tuition_Data!C16</f>
        <v>University of Edinburgh</v>
      </c>
      <c r="D31" s="7" t="s">
        <v>153</v>
      </c>
      <c r="E31" s="7" t="n">
        <f aca="false">Tuition_Data!D16</f>
        <v>54465</v>
      </c>
      <c r="F31" s="7" t="n">
        <f aca="false">Tuition_Data!G16</f>
        <v>80140</v>
      </c>
      <c r="G31" s="7" t="n">
        <f aca="false">SUMIFS(Salary_Data!$C$2:$C$13,Salary_Data!$A$2:$A$13,A31,Salary_Data!$B$2:$B$13,D31)</f>
        <v>44249</v>
      </c>
      <c r="H31" s="8" t="n">
        <f aca="false">E31/G31</f>
        <v>1.23087527401749</v>
      </c>
      <c r="I31" s="8" t="n">
        <f aca="false">F31/G31</f>
        <v>1.81111437546611</v>
      </c>
      <c r="J31" s="9" t="n">
        <f aca="false">((5*G31-F31)/F31)*100</f>
        <v>176.073122036436</v>
      </c>
      <c r="K31" s="9" t="n">
        <f aca="false">((10*G31-F31)/F31)*100</f>
        <v>452.146244072873</v>
      </c>
    </row>
    <row r="32" customFormat="false" ht="15" hidden="false" customHeight="true" outlineLevel="0" collapsed="false">
      <c r="A32" s="7" t="str">
        <f aca="false">Tuition_Data!A17</f>
        <v>United Kingdom</v>
      </c>
      <c r="B32" s="7" t="str">
        <f aca="false">Tuition_Data!B17</f>
        <v>Data Science MSc</v>
      </c>
      <c r="C32" s="7" t="str">
        <f aca="false">Tuition_Data!C17</f>
        <v>King's College London</v>
      </c>
      <c r="D32" s="7" t="s">
        <v>152</v>
      </c>
      <c r="E32" s="7" t="n">
        <f aca="false">Tuition_Data!D17</f>
        <v>53866</v>
      </c>
      <c r="F32" s="7" t="n">
        <f aca="false">Tuition_Data!G17</f>
        <v>83184</v>
      </c>
      <c r="G32" s="7" t="n">
        <f aca="false">SUMIFS(Salary_Data!$C$2:$C$13,Salary_Data!$A$2:$A$13,A32,Salary_Data!$B$2:$B$13,D32)</f>
        <v>32523</v>
      </c>
      <c r="H32" s="8" t="n">
        <f aca="false">E32/G32</f>
        <v>1.65624327399071</v>
      </c>
      <c r="I32" s="8" t="n">
        <f aca="false">F32/G32</f>
        <v>2.55769762936998</v>
      </c>
      <c r="J32" s="9" t="n">
        <f aca="false">((5*G32-F32)/F32)*100</f>
        <v>95.4883150605886</v>
      </c>
      <c r="K32" s="9" t="n">
        <f aca="false">((10*G32-F32)/F32)*100</f>
        <v>290.976630121177</v>
      </c>
    </row>
    <row r="33" customFormat="false" ht="15" hidden="false" customHeight="true" outlineLevel="0" collapsed="false">
      <c r="A33" s="7" t="str">
        <f aca="false">Tuition_Data!A17</f>
        <v>United Kingdom</v>
      </c>
      <c r="B33" s="7" t="str">
        <f aca="false">Tuition_Data!B17</f>
        <v>Data Science MSc</v>
      </c>
      <c r="C33" s="7" t="str">
        <f aca="false">Tuition_Data!C17</f>
        <v>King's College London</v>
      </c>
      <c r="D33" s="7" t="s">
        <v>153</v>
      </c>
      <c r="E33" s="7" t="n">
        <f aca="false">Tuition_Data!D17</f>
        <v>53866</v>
      </c>
      <c r="F33" s="7" t="n">
        <f aca="false">Tuition_Data!G17</f>
        <v>83184</v>
      </c>
      <c r="G33" s="7" t="n">
        <f aca="false">SUMIFS(Salary_Data!$C$2:$C$13,Salary_Data!$A$2:$A$13,A33,Salary_Data!$B$2:$B$13,D33)</f>
        <v>44249</v>
      </c>
      <c r="H33" s="8" t="n">
        <f aca="false">E33/G33</f>
        <v>1.21733824493209</v>
      </c>
      <c r="I33" s="8" t="n">
        <f aca="false">F33/G33</f>
        <v>1.8799068905512</v>
      </c>
      <c r="J33" s="9" t="n">
        <f aca="false">((5*G33-F33)/F33)*100</f>
        <v>165.970619349875</v>
      </c>
      <c r="K33" s="9" t="n">
        <f aca="false">((10*G33-F33)/F33)*100</f>
        <v>431.94123869975</v>
      </c>
    </row>
    <row r="34" customFormat="false" ht="15" hidden="false" customHeight="true" outlineLevel="0" collapsed="false">
      <c r="A34" s="7" t="str">
        <f aca="false">Tuition_Data!A18</f>
        <v>United Kingdom</v>
      </c>
      <c r="B34" s="7" t="str">
        <f aca="false">Tuition_Data!B18</f>
        <v>MSc Data Science (Computer Science Data Informatics)</v>
      </c>
      <c r="C34" s="7" t="str">
        <f aca="false">Tuition_Data!C18</f>
        <v>University of Manchester</v>
      </c>
      <c r="D34" s="7" t="s">
        <v>152</v>
      </c>
      <c r="E34" s="7" t="n">
        <f aca="false">Tuition_Data!D18</f>
        <v>46875</v>
      </c>
      <c r="F34" s="7" t="n">
        <f aca="false">Tuition_Data!G18</f>
        <v>72129</v>
      </c>
      <c r="G34" s="7" t="n">
        <f aca="false">SUMIFS(Salary_Data!$C$2:$C$13,Salary_Data!$A$2:$A$13,A34,Salary_Data!$B$2:$B$13,D34)</f>
        <v>32523</v>
      </c>
      <c r="H34" s="8" t="n">
        <f aca="false">E34/G34</f>
        <v>1.44128770408634</v>
      </c>
      <c r="I34" s="8" t="n">
        <f aca="false">F34/G34</f>
        <v>2.21778433723826</v>
      </c>
      <c r="J34" s="9" t="n">
        <f aca="false">((5*G34-F34)/F34)*100</f>
        <v>125.450234995633</v>
      </c>
      <c r="K34" s="9" t="n">
        <f aca="false">((10*G34-F34)/F34)*100</f>
        <v>350.900469991266</v>
      </c>
    </row>
    <row r="35" customFormat="false" ht="15" hidden="false" customHeight="true" outlineLevel="0" collapsed="false">
      <c r="A35" s="7" t="str">
        <f aca="false">Tuition_Data!A18</f>
        <v>United Kingdom</v>
      </c>
      <c r="B35" s="7" t="str">
        <f aca="false">Tuition_Data!B18</f>
        <v>MSc Data Science (Computer Science Data Informatics)</v>
      </c>
      <c r="C35" s="7" t="str">
        <f aca="false">Tuition_Data!C18</f>
        <v>University of Manchester</v>
      </c>
      <c r="D35" s="7" t="s">
        <v>153</v>
      </c>
      <c r="E35" s="7" t="n">
        <f aca="false">Tuition_Data!D18</f>
        <v>46875</v>
      </c>
      <c r="F35" s="7" t="n">
        <f aca="false">Tuition_Data!G18</f>
        <v>72129</v>
      </c>
      <c r="G35" s="7" t="n">
        <f aca="false">SUMIFS(Salary_Data!$C$2:$C$13,Salary_Data!$A$2:$A$13,A35,Salary_Data!$B$2:$B$13,D35)</f>
        <v>44249</v>
      </c>
      <c r="H35" s="8" t="n">
        <f aca="false">E35/G35</f>
        <v>1.05934597392031</v>
      </c>
      <c r="I35" s="8" t="n">
        <f aca="false">F35/G35</f>
        <v>1.63007073606183</v>
      </c>
      <c r="J35" s="9" t="n">
        <f aca="false">((5*G35-F35)/F35)*100</f>
        <v>206.73515506939</v>
      </c>
      <c r="K35" s="9" t="n">
        <f aca="false">((10*G35-F35)/F35)*100</f>
        <v>513.470310138779</v>
      </c>
    </row>
    <row r="36" customFormat="false" ht="15" hidden="false" customHeight="true" outlineLevel="0" collapsed="false">
      <c r="A36" s="7" t="str">
        <f aca="false">Tuition_Data!A19</f>
        <v>United Kingdom</v>
      </c>
      <c r="B36" s="7" t="str">
        <f aca="false">Tuition_Data!B19</f>
        <v>MSc Data Science</v>
      </c>
      <c r="C36" s="7" t="str">
        <f aca="false">Tuition_Data!C19</f>
        <v>University of Bristol</v>
      </c>
      <c r="D36" s="7" t="s">
        <v>152</v>
      </c>
      <c r="E36" s="7" t="n">
        <f aca="false">Tuition_Data!D19</f>
        <v>48606</v>
      </c>
      <c r="F36" s="7" t="n">
        <f aca="false">Tuition_Data!G19</f>
        <v>79394</v>
      </c>
      <c r="G36" s="7" t="n">
        <f aca="false">SUMIFS(Salary_Data!$C$2:$C$13,Salary_Data!$A$2:$A$13,A36,Salary_Data!$B$2:$B$13,D36)</f>
        <v>32523</v>
      </c>
      <c r="H36" s="8" t="n">
        <f aca="false">E36/G36</f>
        <v>1.49451157642284</v>
      </c>
      <c r="I36" s="8" t="n">
        <f aca="false">F36/G36</f>
        <v>2.44116471420226</v>
      </c>
      <c r="J36" s="9" t="n">
        <f aca="false">((5*G36-F36)/F36)*100</f>
        <v>104.820263495982</v>
      </c>
      <c r="K36" s="9" t="n">
        <f aca="false">((10*G36-F36)/F36)*100</f>
        <v>309.640526991964</v>
      </c>
    </row>
    <row r="37" customFormat="false" ht="15" hidden="false" customHeight="true" outlineLevel="0" collapsed="false">
      <c r="A37" s="7" t="str">
        <f aca="false">Tuition_Data!A19</f>
        <v>United Kingdom</v>
      </c>
      <c r="B37" s="7" t="str">
        <f aca="false">Tuition_Data!B19</f>
        <v>MSc Data Science</v>
      </c>
      <c r="C37" s="7" t="str">
        <f aca="false">Tuition_Data!C19</f>
        <v>University of Bristol</v>
      </c>
      <c r="D37" s="7" t="s">
        <v>153</v>
      </c>
      <c r="E37" s="7" t="n">
        <f aca="false">Tuition_Data!D19</f>
        <v>48606</v>
      </c>
      <c r="F37" s="7" t="n">
        <f aca="false">Tuition_Data!G19</f>
        <v>79394</v>
      </c>
      <c r="G37" s="7" t="n">
        <f aca="false">SUMIFS(Salary_Data!$C$2:$C$13,Salary_Data!$A$2:$A$13,A37,Salary_Data!$B$2:$B$13,D37)</f>
        <v>44249</v>
      </c>
      <c r="H37" s="8" t="n">
        <f aca="false">E37/G37</f>
        <v>1.09846550204524</v>
      </c>
      <c r="I37" s="8" t="n">
        <f aca="false">F37/G37</f>
        <v>1.7942552374065</v>
      </c>
      <c r="J37" s="9" t="n">
        <f aca="false">((5*G37-F37)/F37)*100</f>
        <v>178.667153689196</v>
      </c>
      <c r="K37" s="9" t="n">
        <f aca="false">((10*G37-F37)/F37)*100</f>
        <v>457.334307378391</v>
      </c>
    </row>
    <row r="38" customFormat="false" ht="15" hidden="false" customHeight="true" outlineLevel="0" collapsed="false">
      <c r="A38" s="7" t="str">
        <f aca="false">Tuition_Data!A20</f>
        <v>United Kingdom</v>
      </c>
      <c r="B38" s="7" t="str">
        <f aca="false">Tuition_Data!B20</f>
        <v>MSc Data Science</v>
      </c>
      <c r="C38" s="7" t="str">
        <f aca="false">Tuition_Data!C20</f>
        <v>London School of Economics and Political Science (LSE)</v>
      </c>
      <c r="D38" s="7" t="s">
        <v>152</v>
      </c>
      <c r="E38" s="7" t="n">
        <f aca="false">Tuition_Data!D20</f>
        <v>53134</v>
      </c>
      <c r="F38" s="7" t="n">
        <f aca="false">Tuition_Data!G20</f>
        <v>78936</v>
      </c>
      <c r="G38" s="7" t="n">
        <f aca="false">SUMIFS(Salary_Data!$C$2:$C$13,Salary_Data!$A$2:$A$13,A38,Salary_Data!$B$2:$B$13,D38)</f>
        <v>32523</v>
      </c>
      <c r="H38" s="8" t="n">
        <f aca="false">E38/G38</f>
        <v>1.6337361252037</v>
      </c>
      <c r="I38" s="8" t="n">
        <f aca="false">F38/G38</f>
        <v>2.42708237247486</v>
      </c>
      <c r="J38" s="9" t="n">
        <f aca="false">((5*G38-F38)/F38)*100</f>
        <v>106.008665247796</v>
      </c>
      <c r="K38" s="9" t="n">
        <f aca="false">((10*G38-F38)/F38)*100</f>
        <v>312.017330495591</v>
      </c>
    </row>
    <row r="39" customFormat="false" ht="15" hidden="false" customHeight="true" outlineLevel="0" collapsed="false">
      <c r="A39" s="7" t="str">
        <f aca="false">Tuition_Data!A20</f>
        <v>United Kingdom</v>
      </c>
      <c r="B39" s="7" t="str">
        <f aca="false">Tuition_Data!B20</f>
        <v>MSc Data Science</v>
      </c>
      <c r="C39" s="7" t="str">
        <f aca="false">Tuition_Data!C20</f>
        <v>London School of Economics and Political Science (LSE)</v>
      </c>
      <c r="D39" s="7" t="s">
        <v>153</v>
      </c>
      <c r="E39" s="7" t="n">
        <f aca="false">Tuition_Data!D20</f>
        <v>53134</v>
      </c>
      <c r="F39" s="7" t="n">
        <f aca="false">Tuition_Data!G20</f>
        <v>78936</v>
      </c>
      <c r="G39" s="7" t="n">
        <f aca="false">SUMIFS(Salary_Data!$C$2:$C$13,Salary_Data!$A$2:$A$13,A39,Salary_Data!$B$2:$B$13,D39)</f>
        <v>44249</v>
      </c>
      <c r="H39" s="8" t="n">
        <f aca="false">E39/G39</f>
        <v>1.20079549820335</v>
      </c>
      <c r="I39" s="8" t="n">
        <f aca="false">F39/G39</f>
        <v>1.78390472101064</v>
      </c>
      <c r="J39" s="9" t="n">
        <f aca="false">((5*G39-F39)/F39)*100</f>
        <v>180.284027566636</v>
      </c>
      <c r="K39" s="9" t="n">
        <f aca="false">((10*G39-F39)/F39)*100</f>
        <v>460.568055133273</v>
      </c>
    </row>
    <row r="40" customFormat="false" ht="15" hidden="false" customHeight="true" outlineLevel="0" collapsed="false">
      <c r="A40" s="7" t="str">
        <f aca="false">Tuition_Data!A21</f>
        <v>United Kingdom</v>
      </c>
      <c r="B40" s="7" t="str">
        <f aca="false">Tuition_Data!B21</f>
        <v>Statistics with Data Science MSc</v>
      </c>
      <c r="C40" s="7" t="str">
        <f aca="false">Tuition_Data!C21</f>
        <v>University of Warwick</v>
      </c>
      <c r="D40" s="7" t="s">
        <v>152</v>
      </c>
      <c r="E40" s="7" t="n">
        <f aca="false">Tuition_Data!D21</f>
        <v>49884</v>
      </c>
      <c r="F40" s="7" t="n">
        <f aca="false">Tuition_Data!G21</f>
        <v>69071</v>
      </c>
      <c r="G40" s="7" t="n">
        <f aca="false">SUMIFS(Salary_Data!$C$2:$C$13,Salary_Data!$A$2:$A$13,A40,Salary_Data!$B$2:$B$13,D40)</f>
        <v>32523</v>
      </c>
      <c r="H40" s="8" t="n">
        <f aca="false">E40/G40</f>
        <v>1.53380684438705</v>
      </c>
      <c r="I40" s="8" t="n">
        <f aca="false">F40/G40</f>
        <v>2.12375857085755</v>
      </c>
      <c r="J40" s="9" t="n">
        <f aca="false">((5*G40-F40)/F40)*100</f>
        <v>135.43165728019</v>
      </c>
      <c r="K40" s="9" t="n">
        <f aca="false">((10*G40-F40)/F40)*100</f>
        <v>370.86331456038</v>
      </c>
    </row>
    <row r="41" customFormat="false" ht="15" hidden="false" customHeight="true" outlineLevel="0" collapsed="false">
      <c r="A41" s="7" t="str">
        <f aca="false">Tuition_Data!A21</f>
        <v>United Kingdom</v>
      </c>
      <c r="B41" s="7" t="str">
        <f aca="false">Tuition_Data!B21</f>
        <v>Statistics with Data Science MSc</v>
      </c>
      <c r="C41" s="7" t="str">
        <f aca="false">Tuition_Data!C21</f>
        <v>University of Warwick</v>
      </c>
      <c r="D41" s="7" t="s">
        <v>153</v>
      </c>
      <c r="E41" s="7" t="n">
        <f aca="false">Tuition_Data!D21</f>
        <v>49884</v>
      </c>
      <c r="F41" s="7" t="n">
        <f aca="false">Tuition_Data!G21</f>
        <v>69071</v>
      </c>
      <c r="G41" s="7" t="n">
        <f aca="false">SUMIFS(Salary_Data!$C$2:$C$13,Salary_Data!$A$2:$A$13,A41,Salary_Data!$B$2:$B$13,D41)</f>
        <v>44249</v>
      </c>
      <c r="H41" s="8" t="n">
        <f aca="false">E41/G41</f>
        <v>1.12734751067821</v>
      </c>
      <c r="I41" s="8" t="n">
        <f aca="false">F41/G41</f>
        <v>1.56096182964587</v>
      </c>
      <c r="J41" s="9" t="n">
        <f aca="false">((5*G41-F41)/F41)*100</f>
        <v>220.315327706273</v>
      </c>
      <c r="K41" s="9" t="n">
        <f aca="false">((10*G41-F41)/F41)*100</f>
        <v>540.630655412547</v>
      </c>
    </row>
    <row r="42" customFormat="false" ht="15" hidden="false" customHeight="true" outlineLevel="0" collapsed="false">
      <c r="A42" s="7" t="str">
        <f aca="false">Tuition_Data!A22</f>
        <v>Canada</v>
      </c>
      <c r="B42" s="7" t="str">
        <f aca="false">Tuition_Data!B22</f>
        <v>Master of Management in Analytics</v>
      </c>
      <c r="C42" s="7" t="str">
        <f aca="false">Tuition_Data!C22</f>
        <v>McGill University</v>
      </c>
      <c r="D42" s="7" t="s">
        <v>152</v>
      </c>
      <c r="E42" s="7" t="n">
        <f aca="false">Tuition_Data!D22</f>
        <v>58254</v>
      </c>
      <c r="F42" s="7" t="n">
        <f aca="false">Tuition_Data!G22</f>
        <v>73232</v>
      </c>
      <c r="G42" s="7" t="n">
        <f aca="false">SUMIFS(Salary_Data!$C$2:$C$13,Salary_Data!$A$2:$A$13,A42,Salary_Data!$B$2:$B$13,D42)</f>
        <v>43056</v>
      </c>
      <c r="H42" s="8" t="n">
        <f aca="false">E42/G42</f>
        <v>1.35298216276477</v>
      </c>
      <c r="I42" s="8" t="n">
        <f aca="false">F42/G42</f>
        <v>1.7008547008547</v>
      </c>
      <c r="J42" s="9" t="n">
        <f aca="false">((5*G42-F42)/F42)*100</f>
        <v>193.969849246231</v>
      </c>
      <c r="K42" s="9" t="n">
        <f aca="false">((10*G42-F42)/F42)*100</f>
        <v>487.939698492462</v>
      </c>
    </row>
    <row r="43" customFormat="false" ht="15" hidden="false" customHeight="true" outlineLevel="0" collapsed="false">
      <c r="A43" s="7" t="str">
        <f aca="false">Tuition_Data!A22</f>
        <v>Canada</v>
      </c>
      <c r="B43" s="7" t="str">
        <f aca="false">Tuition_Data!B22</f>
        <v>Master of Management in Analytics</v>
      </c>
      <c r="C43" s="7" t="str">
        <f aca="false">Tuition_Data!C22</f>
        <v>McGill University</v>
      </c>
      <c r="D43" s="7" t="s">
        <v>153</v>
      </c>
      <c r="E43" s="7" t="n">
        <f aca="false">Tuition_Data!D22</f>
        <v>58254</v>
      </c>
      <c r="F43" s="7" t="n">
        <f aca="false">Tuition_Data!G22</f>
        <v>73232</v>
      </c>
      <c r="G43" s="7" t="n">
        <f aca="false">SUMIFS(Salary_Data!$C$2:$C$13,Salary_Data!$A$2:$A$13,A43,Salary_Data!$B$2:$B$13,D43)</f>
        <v>50856</v>
      </c>
      <c r="H43" s="8" t="n">
        <f aca="false">E43/G43</f>
        <v>1.14546956111373</v>
      </c>
      <c r="I43" s="8" t="n">
        <f aca="false">F43/G43</f>
        <v>1.43998741544754</v>
      </c>
      <c r="J43" s="9" t="n">
        <f aca="false">((5*G43-F43)/F43)*100</f>
        <v>247.225256718375</v>
      </c>
      <c r="K43" s="9" t="n">
        <f aca="false">((10*G43-F43)/F43)*100</f>
        <v>594.450513436749</v>
      </c>
    </row>
    <row r="44" customFormat="false" ht="15" hidden="false" customHeight="true" outlineLevel="0" collapsed="false">
      <c r="A44" s="7" t="str">
        <f aca="false">Tuition_Data!A23</f>
        <v>Canada</v>
      </c>
      <c r="B44" s="7" t="str">
        <f aca="false">Tuition_Data!B23</f>
        <v>MSc in Applied Computing — Data Science</v>
      </c>
      <c r="C44" s="7" t="str">
        <f aca="false">Tuition_Data!C23</f>
        <v>University of Toronto</v>
      </c>
      <c r="D44" s="7" t="s">
        <v>152</v>
      </c>
      <c r="E44" s="7" t="n">
        <f aca="false">Tuition_Data!D23</f>
        <v>63897</v>
      </c>
      <c r="F44" s="7" t="n">
        <f aca="false">Tuition_Data!G23</f>
        <v>91805</v>
      </c>
      <c r="G44" s="7" t="n">
        <f aca="false">SUMIFS(Salary_Data!$C$2:$C$13,Salary_Data!$A$2:$A$13,A44,Salary_Data!$B$2:$B$13,D44)</f>
        <v>43056</v>
      </c>
      <c r="H44" s="8" t="n">
        <f aca="false">E44/G44</f>
        <v>1.48404403567447</v>
      </c>
      <c r="I44" s="8" t="n">
        <f aca="false">F44/G44</f>
        <v>2.13222315124489</v>
      </c>
      <c r="J44" s="9" t="n">
        <f aca="false">((5*G44-F44)/F44)*100</f>
        <v>134.497031752083</v>
      </c>
      <c r="K44" s="9" t="n">
        <f aca="false">((10*G44-F44)/F44)*100</f>
        <v>368.994063504166</v>
      </c>
    </row>
    <row r="45" customFormat="false" ht="15" hidden="false" customHeight="true" outlineLevel="0" collapsed="false">
      <c r="A45" s="7" t="str">
        <f aca="false">Tuition_Data!A23</f>
        <v>Canada</v>
      </c>
      <c r="B45" s="7" t="str">
        <f aca="false">Tuition_Data!B23</f>
        <v>MSc in Applied Computing — Data Science</v>
      </c>
      <c r="C45" s="7" t="str">
        <f aca="false">Tuition_Data!C23</f>
        <v>University of Toronto</v>
      </c>
      <c r="D45" s="7" t="s">
        <v>153</v>
      </c>
      <c r="E45" s="7" t="n">
        <f aca="false">Tuition_Data!D23</f>
        <v>63897</v>
      </c>
      <c r="F45" s="7" t="n">
        <f aca="false">Tuition_Data!G23</f>
        <v>91805</v>
      </c>
      <c r="G45" s="7" t="n">
        <f aca="false">SUMIFS(Salary_Data!$C$2:$C$13,Salary_Data!$A$2:$A$13,A45,Salary_Data!$B$2:$B$13,D45)</f>
        <v>50856</v>
      </c>
      <c r="H45" s="8" t="n">
        <f aca="false">E45/G45</f>
        <v>1.25642991977348</v>
      </c>
      <c r="I45" s="8" t="n">
        <f aca="false">F45/G45</f>
        <v>1.80519506056316</v>
      </c>
      <c r="J45" s="9" t="n">
        <f aca="false">((5*G45-F45)/F45)*100</f>
        <v>176.978378083982</v>
      </c>
      <c r="K45" s="9" t="n">
        <f aca="false">((10*G45-F45)/F45)*100</f>
        <v>453.956756167965</v>
      </c>
    </row>
    <row r="46" customFormat="false" ht="15" hidden="false" customHeight="true" outlineLevel="0" collapsed="false">
      <c r="A46" s="7" t="str">
        <f aca="false">Tuition_Data!A24</f>
        <v>Canada</v>
      </c>
      <c r="B46" s="7" t="str">
        <f aca="false">Tuition_Data!B24</f>
        <v>Master of Data Science — Vancouver</v>
      </c>
      <c r="C46" s="7" t="str">
        <f aca="false">Tuition_Data!C24</f>
        <v>University of British Columbia</v>
      </c>
      <c r="D46" s="7" t="s">
        <v>152</v>
      </c>
      <c r="E46" s="7" t="n">
        <f aca="false">Tuition_Data!D24</f>
        <v>42410</v>
      </c>
      <c r="F46" s="7" t="n">
        <f aca="false">Tuition_Data!G24</f>
        <v>64477</v>
      </c>
      <c r="G46" s="7" t="n">
        <f aca="false">SUMIFS(Salary_Data!$C$2:$C$13,Salary_Data!$A$2:$A$13,A46,Salary_Data!$B$2:$B$13,D46)</f>
        <v>43056</v>
      </c>
      <c r="H46" s="8" t="n">
        <f aca="false">E46/G46</f>
        <v>0.984996283909327</v>
      </c>
      <c r="I46" s="8" t="n">
        <f aca="false">F46/G46</f>
        <v>1.49751486436269</v>
      </c>
      <c r="J46" s="9" t="n">
        <f aca="false">((5*G46-F46)/F46)*100</f>
        <v>233.886502163562</v>
      </c>
      <c r="K46" s="9" t="n">
        <f aca="false">((10*G46-F46)/F46)*100</f>
        <v>567.773004327124</v>
      </c>
    </row>
    <row r="47" customFormat="false" ht="15" hidden="false" customHeight="true" outlineLevel="0" collapsed="false">
      <c r="A47" s="7" t="str">
        <f aca="false">Tuition_Data!A24</f>
        <v>Canada</v>
      </c>
      <c r="B47" s="7" t="str">
        <f aca="false">Tuition_Data!B24</f>
        <v>Master of Data Science — Vancouver</v>
      </c>
      <c r="C47" s="7" t="str">
        <f aca="false">Tuition_Data!C24</f>
        <v>University of British Columbia</v>
      </c>
      <c r="D47" s="7" t="s">
        <v>153</v>
      </c>
      <c r="E47" s="7" t="n">
        <f aca="false">Tuition_Data!D24</f>
        <v>42410</v>
      </c>
      <c r="F47" s="7" t="n">
        <f aca="false">Tuition_Data!G24</f>
        <v>64477</v>
      </c>
      <c r="G47" s="7" t="n">
        <f aca="false">SUMIFS(Salary_Data!$C$2:$C$13,Salary_Data!$A$2:$A$13,A47,Salary_Data!$B$2:$B$13,D47)</f>
        <v>50856</v>
      </c>
      <c r="H47" s="8" t="n">
        <f aca="false">E47/G47</f>
        <v>0.833923234229983</v>
      </c>
      <c r="I47" s="8" t="n">
        <f aca="false">F47/G47</f>
        <v>1.26783467044203</v>
      </c>
      <c r="J47" s="9" t="n">
        <f aca="false">((5*G47-F47)/F47)*100</f>
        <v>294.373187338121</v>
      </c>
      <c r="K47" s="9" t="n">
        <f aca="false">((10*G47-F47)/F47)*100</f>
        <v>688.746374676241</v>
      </c>
    </row>
    <row r="48" customFormat="false" ht="15" hidden="false" customHeight="true" outlineLevel="0" collapsed="false">
      <c r="A48" s="7" t="str">
        <f aca="false">Tuition_Data!A25</f>
        <v>Canada</v>
      </c>
      <c r="B48" s="7" t="str">
        <f aca="false">Tuition_Data!B25</f>
        <v>Master of Management Analytics</v>
      </c>
      <c r="C48" s="7" t="str">
        <f aca="false">Tuition_Data!C25</f>
        <v>University of Alberta</v>
      </c>
      <c r="D48" s="7" t="s">
        <v>152</v>
      </c>
      <c r="E48" s="7" t="n">
        <f aca="false">Tuition_Data!D25</f>
        <v>42574</v>
      </c>
      <c r="F48" s="7" t="n">
        <f aca="false">Tuition_Data!G25</f>
        <v>61132</v>
      </c>
      <c r="G48" s="7" t="n">
        <f aca="false">SUMIFS(Salary_Data!$C$2:$C$13,Salary_Data!$A$2:$A$13,A48,Salary_Data!$B$2:$B$13,D48)</f>
        <v>43056</v>
      </c>
      <c r="H48" s="8" t="n">
        <f aca="false">E48/G48</f>
        <v>0.988805276848755</v>
      </c>
      <c r="I48" s="8" t="n">
        <f aca="false">F48/G48</f>
        <v>1.41982534373839</v>
      </c>
      <c r="J48" s="9" t="n">
        <f aca="false">((5*G48-F48)/F48)*100</f>
        <v>252.155990316037</v>
      </c>
      <c r="K48" s="9" t="n">
        <f aca="false">((10*G48-F48)/F48)*100</f>
        <v>604.311980632075</v>
      </c>
    </row>
    <row r="49" customFormat="false" ht="15" hidden="false" customHeight="true" outlineLevel="0" collapsed="false">
      <c r="A49" s="7" t="str">
        <f aca="false">Tuition_Data!A25</f>
        <v>Canada</v>
      </c>
      <c r="B49" s="7" t="str">
        <f aca="false">Tuition_Data!B25</f>
        <v>Master of Management Analytics</v>
      </c>
      <c r="C49" s="7" t="str">
        <f aca="false">Tuition_Data!C25</f>
        <v>University of Alberta</v>
      </c>
      <c r="D49" s="7" t="s">
        <v>153</v>
      </c>
      <c r="E49" s="7" t="n">
        <f aca="false">Tuition_Data!D25</f>
        <v>42574</v>
      </c>
      <c r="F49" s="7" t="n">
        <f aca="false">Tuition_Data!G25</f>
        <v>61132</v>
      </c>
      <c r="G49" s="7" t="n">
        <f aca="false">SUMIFS(Salary_Data!$C$2:$C$13,Salary_Data!$A$2:$A$13,A49,Salary_Data!$B$2:$B$13,D49)</f>
        <v>50856</v>
      </c>
      <c r="H49" s="8" t="n">
        <f aca="false">E49/G49</f>
        <v>0.837148025798333</v>
      </c>
      <c r="I49" s="8" t="n">
        <f aca="false">F49/G49</f>
        <v>1.20206072046563</v>
      </c>
      <c r="J49" s="9" t="n">
        <f aca="false">((5*G49-F49)/F49)*100</f>
        <v>315.952365373291</v>
      </c>
      <c r="K49" s="9" t="n">
        <f aca="false">((10*G49-F49)/F49)*100</f>
        <v>731.904730746581</v>
      </c>
    </row>
    <row r="50" customFormat="false" ht="15" hidden="false" customHeight="true" outlineLevel="0" collapsed="false">
      <c r="A50" s="7" t="str">
        <f aca="false">Tuition_Data!A26</f>
        <v>Canada</v>
      </c>
      <c r="B50" s="7" t="str">
        <f aca="false">Tuition_Data!B26</f>
        <v>Master of Data Science and Artificial Intelligence — Co-op</v>
      </c>
      <c r="C50" s="7" t="str">
        <f aca="false">Tuition_Data!C26</f>
        <v>University of Waterloo</v>
      </c>
      <c r="D50" s="7" t="s">
        <v>152</v>
      </c>
      <c r="E50" s="7" t="n">
        <f aca="false">Tuition_Data!D26</f>
        <v>40054</v>
      </c>
      <c r="F50" s="7" t="n">
        <f aca="false">Tuition_Data!G26</f>
        <v>71031</v>
      </c>
      <c r="G50" s="7" t="n">
        <f aca="false">SUMIFS(Salary_Data!$C$2:$C$13,Salary_Data!$A$2:$A$13,A50,Salary_Data!$B$2:$B$13,D50)</f>
        <v>43056</v>
      </c>
      <c r="H50" s="8" t="n">
        <f aca="false">E50/G50</f>
        <v>0.93027684875511</v>
      </c>
      <c r="I50" s="8" t="n">
        <f aca="false">F50/G50</f>
        <v>1.64973522853958</v>
      </c>
      <c r="J50" s="9" t="n">
        <f aca="false">((5*G50-F50)/F50)*100</f>
        <v>203.078937365376</v>
      </c>
      <c r="K50" s="9" t="n">
        <f aca="false">((10*G50-F50)/F50)*100</f>
        <v>506.157874730751</v>
      </c>
    </row>
    <row r="51" customFormat="false" ht="15" hidden="false" customHeight="true" outlineLevel="0" collapsed="false">
      <c r="A51" s="7" t="str">
        <f aca="false">Tuition_Data!A26</f>
        <v>Canada</v>
      </c>
      <c r="B51" s="7" t="str">
        <f aca="false">Tuition_Data!B26</f>
        <v>Master of Data Science and Artificial Intelligence — Co-op</v>
      </c>
      <c r="C51" s="7" t="str">
        <f aca="false">Tuition_Data!C26</f>
        <v>University of Waterloo</v>
      </c>
      <c r="D51" s="7" t="s">
        <v>153</v>
      </c>
      <c r="E51" s="7" t="n">
        <f aca="false">Tuition_Data!D26</f>
        <v>40054</v>
      </c>
      <c r="F51" s="7" t="n">
        <f aca="false">Tuition_Data!G26</f>
        <v>71031</v>
      </c>
      <c r="G51" s="7" t="n">
        <f aca="false">SUMIFS(Salary_Data!$C$2:$C$13,Salary_Data!$A$2:$A$13,A51,Salary_Data!$B$2:$B$13,D51)</f>
        <v>50856</v>
      </c>
      <c r="H51" s="8" t="n">
        <f aca="false">E51/G51</f>
        <v>0.787596350479786</v>
      </c>
      <c r="I51" s="8" t="n">
        <f aca="false">F51/G51</f>
        <v>1.3967083529967</v>
      </c>
      <c r="J51" s="9" t="n">
        <f aca="false">((5*G51-F51)/F51)*100</f>
        <v>257.984541960552</v>
      </c>
      <c r="K51" s="9" t="n">
        <f aca="false">((10*G51-F51)/F51)*100</f>
        <v>615.969083921105</v>
      </c>
    </row>
    <row r="52" customFormat="false" ht="15" hidden="false" customHeight="true" outlineLevel="0" collapsed="false">
      <c r="A52" s="7" t="str">
        <f aca="false">Tuition_Data!A27</f>
        <v>Canada</v>
      </c>
      <c r="B52" s="7" t="str">
        <f aca="false">Tuition_Data!B27</f>
        <v>Master of Data Analytics</v>
      </c>
      <c r="C52" s="7" t="str">
        <f aca="false">Tuition_Data!C27</f>
        <v>Western University</v>
      </c>
      <c r="D52" s="7" t="s">
        <v>152</v>
      </c>
      <c r="E52" s="7" t="n">
        <f aca="false">Tuition_Data!D27</f>
        <v>43300</v>
      </c>
      <c r="F52" s="7" t="n">
        <f aca="false">Tuition_Data!G27</f>
        <v>67943</v>
      </c>
      <c r="G52" s="7" t="n">
        <f aca="false">SUMIFS(Salary_Data!$C$2:$C$13,Salary_Data!$A$2:$A$13,A52,Salary_Data!$B$2:$B$13,D52)</f>
        <v>43056</v>
      </c>
      <c r="H52" s="8" t="n">
        <f aca="false">E52/G52</f>
        <v>1.00566703827573</v>
      </c>
      <c r="I52" s="8" t="n">
        <f aca="false">F52/G52</f>
        <v>1.57801467855816</v>
      </c>
      <c r="J52" s="9" t="n">
        <f aca="false">((5*G52-F52)/F52)*100</f>
        <v>216.853833360317</v>
      </c>
      <c r="K52" s="9" t="n">
        <f aca="false">((10*G52-F52)/F52)*100</f>
        <v>533.707666720634</v>
      </c>
    </row>
    <row r="53" customFormat="false" ht="15" hidden="false" customHeight="true" outlineLevel="0" collapsed="false">
      <c r="A53" s="7" t="str">
        <f aca="false">Tuition_Data!A27</f>
        <v>Canada</v>
      </c>
      <c r="B53" s="7" t="str">
        <f aca="false">Tuition_Data!B27</f>
        <v>Master of Data Analytics</v>
      </c>
      <c r="C53" s="7" t="str">
        <f aca="false">Tuition_Data!C27</f>
        <v>Western University</v>
      </c>
      <c r="D53" s="7" t="s">
        <v>153</v>
      </c>
      <c r="E53" s="7" t="n">
        <f aca="false">Tuition_Data!D27</f>
        <v>43300</v>
      </c>
      <c r="F53" s="7" t="n">
        <f aca="false">Tuition_Data!G27</f>
        <v>67943</v>
      </c>
      <c r="G53" s="7" t="n">
        <f aca="false">SUMIFS(Salary_Data!$C$2:$C$13,Salary_Data!$A$2:$A$13,A53,Salary_Data!$B$2:$B$13,D53)</f>
        <v>50856</v>
      </c>
      <c r="H53" s="8" t="n">
        <f aca="false">E53/G53</f>
        <v>0.851423627497247</v>
      </c>
      <c r="I53" s="8" t="n">
        <f aca="false">F53/G53</f>
        <v>1.33598788736826</v>
      </c>
      <c r="J53" s="9" t="n">
        <f aca="false">((5*G53-F53)/F53)*100</f>
        <v>274.25489012849</v>
      </c>
      <c r="K53" s="9" t="n">
        <f aca="false">((10*G53-F53)/F53)*100</f>
        <v>648.50978025698</v>
      </c>
    </row>
    <row r="54" customFormat="false" ht="15" hidden="false" customHeight="true" outlineLevel="0" collapsed="false">
      <c r="A54" s="7" t="str">
        <f aca="false">Tuition_Data!A28</f>
        <v>Canada</v>
      </c>
      <c r="B54" s="7" t="str">
        <f aca="false">Tuition_Data!B28</f>
        <v>MSc Computer Science — Machine Learning, internship option</v>
      </c>
      <c r="C54" s="7" t="str">
        <f aca="false">Tuition_Data!C28</f>
        <v>Université de Montréal</v>
      </c>
      <c r="D54" s="7" t="s">
        <v>152</v>
      </c>
      <c r="E54" s="7" t="n">
        <f aca="false">Tuition_Data!D28</f>
        <v>24840</v>
      </c>
      <c r="F54" s="7" t="n">
        <f aca="false">Tuition_Data!G28</f>
        <v>54352</v>
      </c>
      <c r="G54" s="7" t="n">
        <f aca="false">SUMIFS(Salary_Data!$C$2:$C$13,Salary_Data!$A$2:$A$13,A54,Salary_Data!$B$2:$B$13,D54)</f>
        <v>43056</v>
      </c>
      <c r="H54" s="8" t="n">
        <f aca="false">E54/G54</f>
        <v>0.576923076923077</v>
      </c>
      <c r="I54" s="8" t="n">
        <f aca="false">F54/G54</f>
        <v>1.26235600148644</v>
      </c>
      <c r="J54" s="9" t="n">
        <f aca="false">((5*G54-F54)/F54)*100</f>
        <v>296.084780688843</v>
      </c>
      <c r="K54" s="9" t="n">
        <f aca="false">((10*G54-F54)/F54)*100</f>
        <v>692.169561377686</v>
      </c>
    </row>
    <row r="55" customFormat="false" ht="15" hidden="false" customHeight="true" outlineLevel="0" collapsed="false">
      <c r="A55" s="7" t="str">
        <f aca="false">Tuition_Data!A28</f>
        <v>Canada</v>
      </c>
      <c r="B55" s="7" t="str">
        <f aca="false">Tuition_Data!B28</f>
        <v>MSc Computer Science — Machine Learning, internship option</v>
      </c>
      <c r="C55" s="7" t="str">
        <f aca="false">Tuition_Data!C28</f>
        <v>Université de Montréal</v>
      </c>
      <c r="D55" s="7" t="s">
        <v>153</v>
      </c>
      <c r="E55" s="7" t="n">
        <f aca="false">Tuition_Data!D28</f>
        <v>24840</v>
      </c>
      <c r="F55" s="7" t="n">
        <f aca="false">Tuition_Data!G28</f>
        <v>54352</v>
      </c>
      <c r="G55" s="7" t="n">
        <f aca="false">SUMIFS(Salary_Data!$C$2:$C$13,Salary_Data!$A$2:$A$13,A55,Salary_Data!$B$2:$B$13,D55)</f>
        <v>50856</v>
      </c>
      <c r="H55" s="8" t="n">
        <f aca="false">E55/G55</f>
        <v>0.488437942425673</v>
      </c>
      <c r="I55" s="8" t="n">
        <f aca="false">F55/G55</f>
        <v>1.06874311782287</v>
      </c>
      <c r="J55" s="9" t="n">
        <f aca="false">((5*G55-F55)/F55)*100</f>
        <v>367.839269944068</v>
      </c>
      <c r="K55" s="9" t="n">
        <f aca="false">((10*G55-F55)/F55)*100</f>
        <v>835.678539888137</v>
      </c>
    </row>
    <row r="56" customFormat="false" ht="15" hidden="false" customHeight="true" outlineLevel="0" collapsed="false">
      <c r="A56" s="7" t="str">
        <f aca="false">Tuition_Data!A29</f>
        <v>Canada</v>
      </c>
      <c r="B56" s="7" t="str">
        <f aca="false">Tuition_Data!B29</f>
        <v>Master of Management in AI and Analytics</v>
      </c>
      <c r="C56" s="7" t="str">
        <f aca="false">Tuition_Data!C29</f>
        <v>McMaster University</v>
      </c>
      <c r="D56" s="7" t="s">
        <v>152</v>
      </c>
      <c r="E56" s="7" t="n">
        <f aca="false">Tuition_Data!D29</f>
        <v>46122</v>
      </c>
      <c r="F56" s="7" t="n">
        <f aca="false">Tuition_Data!G29</f>
        <v>75323</v>
      </c>
      <c r="G56" s="7" t="n">
        <f aca="false">SUMIFS(Salary_Data!$C$2:$C$13,Salary_Data!$A$2:$A$13,A56,Salary_Data!$B$2:$B$13,D56)</f>
        <v>43056</v>
      </c>
      <c r="H56" s="8" t="n">
        <f aca="false">E56/G56</f>
        <v>1.07120958751394</v>
      </c>
      <c r="I56" s="8" t="n">
        <f aca="false">F56/G56</f>
        <v>1.7494193608324</v>
      </c>
      <c r="J56" s="9" t="n">
        <f aca="false">((5*G56-F56)/F56)*100</f>
        <v>185.809115409636</v>
      </c>
      <c r="K56" s="9" t="n">
        <f aca="false">((10*G56-F56)/F56)*100</f>
        <v>471.618230819272</v>
      </c>
    </row>
    <row r="57" customFormat="false" ht="15" hidden="false" customHeight="true" outlineLevel="0" collapsed="false">
      <c r="A57" s="7" t="str">
        <f aca="false">Tuition_Data!A29</f>
        <v>Canada</v>
      </c>
      <c r="B57" s="7" t="str">
        <f aca="false">Tuition_Data!B29</f>
        <v>Master of Management in AI and Analytics</v>
      </c>
      <c r="C57" s="7" t="str">
        <f aca="false">Tuition_Data!C29</f>
        <v>McMaster University</v>
      </c>
      <c r="D57" s="7" t="s">
        <v>153</v>
      </c>
      <c r="E57" s="7" t="n">
        <f aca="false">Tuition_Data!D29</f>
        <v>46122</v>
      </c>
      <c r="F57" s="7" t="n">
        <f aca="false">Tuition_Data!G29</f>
        <v>75323</v>
      </c>
      <c r="G57" s="7" t="n">
        <f aca="false">SUMIFS(Salary_Data!$C$2:$C$13,Salary_Data!$A$2:$A$13,A57,Salary_Data!$B$2:$B$13,D57)</f>
        <v>50856</v>
      </c>
      <c r="H57" s="8" t="n">
        <f aca="false">E57/G57</f>
        <v>0.906913638508731</v>
      </c>
      <c r="I57" s="8" t="n">
        <f aca="false">F57/G57</f>
        <v>1.481103507944</v>
      </c>
      <c r="J57" s="9" t="n">
        <f aca="false">((5*G57-F57)/F57)*100</f>
        <v>237.586129070802</v>
      </c>
      <c r="K57" s="9" t="n">
        <f aca="false">((10*G57-F57)/F57)*100</f>
        <v>575.172258141604</v>
      </c>
    </row>
    <row r="58" customFormat="false" ht="15" hidden="false" customHeight="true" outlineLevel="0" collapsed="false">
      <c r="A58" s="7" t="str">
        <f aca="false">Tuition_Data!A30</f>
        <v>Canada</v>
      </c>
      <c r="B58" s="7" t="str">
        <f aca="false">Tuition_Data!B30</f>
        <v>Full-time Master of Management Analytics</v>
      </c>
      <c r="C58" s="7" t="str">
        <f aca="false">Tuition_Data!C30</f>
        <v>Queen’s University</v>
      </c>
      <c r="D58" s="7" t="s">
        <v>152</v>
      </c>
      <c r="E58" s="7" t="n">
        <f aca="false">Tuition_Data!D30</f>
        <v>59338</v>
      </c>
      <c r="F58" s="7" t="n">
        <f aca="false">Tuition_Data!G30</f>
        <v>87246</v>
      </c>
      <c r="G58" s="7" t="n">
        <f aca="false">SUMIFS(Salary_Data!$C$2:$C$13,Salary_Data!$A$2:$A$13,A58,Salary_Data!$B$2:$B$13,D58)</f>
        <v>43056</v>
      </c>
      <c r="H58" s="8" t="n">
        <f aca="false">E58/G58</f>
        <v>1.37815867707172</v>
      </c>
      <c r="I58" s="8" t="n">
        <f aca="false">F58/G58</f>
        <v>2.02633779264214</v>
      </c>
      <c r="J58" s="9" t="n">
        <f aca="false">((5*G58-F58)/F58)*100</f>
        <v>146.750567361254</v>
      </c>
      <c r="K58" s="9" t="n">
        <f aca="false">((10*G58-F58)/F58)*100</f>
        <v>393.501134722509</v>
      </c>
    </row>
    <row r="59" customFormat="false" ht="15" hidden="false" customHeight="true" outlineLevel="0" collapsed="false">
      <c r="A59" s="7" t="str">
        <f aca="false">Tuition_Data!A30</f>
        <v>Canada</v>
      </c>
      <c r="B59" s="7" t="str">
        <f aca="false">Tuition_Data!B30</f>
        <v>Full-time Master of Management Analytics</v>
      </c>
      <c r="C59" s="7" t="str">
        <f aca="false">Tuition_Data!C30</f>
        <v>Queen’s University</v>
      </c>
      <c r="D59" s="7" t="s">
        <v>153</v>
      </c>
      <c r="E59" s="7" t="n">
        <f aca="false">Tuition_Data!D30</f>
        <v>59338</v>
      </c>
      <c r="F59" s="7" t="n">
        <f aca="false">Tuition_Data!G30</f>
        <v>87246</v>
      </c>
      <c r="G59" s="7" t="n">
        <f aca="false">SUMIFS(Salary_Data!$C$2:$C$13,Salary_Data!$A$2:$A$13,A59,Salary_Data!$B$2:$B$13,D59)</f>
        <v>50856</v>
      </c>
      <c r="H59" s="8" t="n">
        <f aca="false">E59/G59</f>
        <v>1.166784646846</v>
      </c>
      <c r="I59" s="8" t="n">
        <f aca="false">F59/G59</f>
        <v>1.71554978763568</v>
      </c>
      <c r="J59" s="9" t="n">
        <f aca="false">((5*G59-F59)/F59)*100</f>
        <v>191.451757100612</v>
      </c>
      <c r="K59" s="9" t="n">
        <f aca="false">((10*G59-F59)/F59)*100</f>
        <v>482.903514201224</v>
      </c>
    </row>
    <row r="60" customFormat="false" ht="15" hidden="false" customHeight="true" outlineLevel="0" collapsed="false">
      <c r="A60" s="7" t="str">
        <f aca="false">Tuition_Data!A31</f>
        <v>Canada</v>
      </c>
      <c r="B60" s="7" t="str">
        <f aca="false">Tuition_Data!B31</f>
        <v>Master of Digital Transformation and Innovation — Applied Data Science</v>
      </c>
      <c r="C60" s="7" t="str">
        <f aca="false">Tuition_Data!C31</f>
        <v>University of Ottawa</v>
      </c>
      <c r="D60" s="7" t="s">
        <v>152</v>
      </c>
      <c r="E60" s="7" t="n">
        <f aca="false">Tuition_Data!D31</f>
        <v>27859</v>
      </c>
      <c r="F60" s="7" t="n">
        <f aca="false">Tuition_Data!G31</f>
        <v>58217</v>
      </c>
      <c r="G60" s="7" t="n">
        <f aca="false">SUMIFS(Salary_Data!$C$2:$C$13,Salary_Data!$A$2:$A$13,A60,Salary_Data!$B$2:$B$13,D60)</f>
        <v>43056</v>
      </c>
      <c r="H60" s="8" t="n">
        <f aca="false">E60/G60</f>
        <v>0.647041062801932</v>
      </c>
      <c r="I60" s="8" t="n">
        <f aca="false">F60/G60</f>
        <v>1.35212281679673</v>
      </c>
      <c r="J60" s="9" t="n">
        <f aca="false">((5*G60-F60)/F60)*100</f>
        <v>269.788893278596</v>
      </c>
      <c r="K60" s="9" t="n">
        <f aca="false">((10*G60-F60)/F60)*100</f>
        <v>639.577786557191</v>
      </c>
    </row>
    <row r="61" customFormat="false" ht="15" hidden="false" customHeight="true" outlineLevel="0" collapsed="false">
      <c r="A61" s="7" t="str">
        <f aca="false">Tuition_Data!A31</f>
        <v>Canada</v>
      </c>
      <c r="B61" s="7" t="str">
        <f aca="false">Tuition_Data!B31</f>
        <v>Master of Digital Transformation and Innovation — Applied Data Science</v>
      </c>
      <c r="C61" s="7" t="str">
        <f aca="false">Tuition_Data!C31</f>
        <v>University of Ottawa</v>
      </c>
      <c r="D61" s="7" t="s">
        <v>153</v>
      </c>
      <c r="E61" s="7" t="n">
        <f aca="false">Tuition_Data!D31</f>
        <v>27859</v>
      </c>
      <c r="F61" s="7" t="n">
        <f aca="false">Tuition_Data!G31</f>
        <v>58217</v>
      </c>
      <c r="G61" s="7" t="n">
        <f aca="false">SUMIFS(Salary_Data!$C$2:$C$13,Salary_Data!$A$2:$A$13,A61,Salary_Data!$B$2:$B$13,D61)</f>
        <v>50856</v>
      </c>
      <c r="H61" s="8" t="n">
        <f aca="false">E61/G61</f>
        <v>0.54780163599182</v>
      </c>
      <c r="I61" s="8" t="n">
        <f aca="false">F61/G61</f>
        <v>1.14474201667453</v>
      </c>
      <c r="J61" s="9" t="n">
        <f aca="false">((5*G61-F61)/F61)*100</f>
        <v>336.779634814573</v>
      </c>
      <c r="K61" s="9" t="n">
        <f aca="false">((10*G61-F61)/F61)*100</f>
        <v>773.559269629146</v>
      </c>
    </row>
    <row r="62" customFormat="false" ht="15" hidden="false" customHeight="true" outlineLevel="0" collapsed="false">
      <c r="A62" s="7" t="str">
        <f aca="false">Tuition_Data!A32</f>
        <v>Australia</v>
      </c>
      <c r="B62" s="7" t="str">
        <f aca="false">Tuition_Data!B32</f>
        <v>Master of Data Science and Decisions</v>
      </c>
      <c r="C62" s="7" t="str">
        <f aca="false">Tuition_Data!C32</f>
        <v>UNSW Sydney</v>
      </c>
      <c r="D62" s="7" t="s">
        <v>152</v>
      </c>
      <c r="E62" s="7" t="n">
        <f aca="false">Tuition_Data!D32</f>
        <v>88195</v>
      </c>
      <c r="F62" s="7" t="n">
        <f aca="false">Tuition_Data!G32</f>
        <v>144573</v>
      </c>
      <c r="G62" s="7" t="n">
        <f aca="false">SUMIFS(Salary_Data!$C$2:$C$13,Salary_Data!$A$2:$A$13,A62,Salary_Data!$B$2:$B$13,D62)</f>
        <v>45435</v>
      </c>
      <c r="H62" s="8" t="n">
        <f aca="false">E62/G62</f>
        <v>1.94112468361395</v>
      </c>
      <c r="I62" s="8" t="n">
        <f aca="false">F62/G62</f>
        <v>3.18197424892704</v>
      </c>
      <c r="J62" s="9" t="n">
        <f aca="false">((5*G62-F62)/F62)*100</f>
        <v>57.1351497167521</v>
      </c>
      <c r="K62" s="9" t="n">
        <f aca="false">((10*G62-F62)/F62)*100</f>
        <v>214.270299433504</v>
      </c>
    </row>
    <row r="63" customFormat="false" ht="15" hidden="false" customHeight="true" outlineLevel="0" collapsed="false">
      <c r="A63" s="7" t="str">
        <f aca="false">Tuition_Data!A32</f>
        <v>Australia</v>
      </c>
      <c r="B63" s="7" t="str">
        <f aca="false">Tuition_Data!B32</f>
        <v>Master of Data Science and Decisions</v>
      </c>
      <c r="C63" s="7" t="str">
        <f aca="false">Tuition_Data!C32</f>
        <v>UNSW Sydney</v>
      </c>
      <c r="D63" s="7" t="s">
        <v>153</v>
      </c>
      <c r="E63" s="7" t="n">
        <f aca="false">Tuition_Data!D32</f>
        <v>88195</v>
      </c>
      <c r="F63" s="7" t="n">
        <f aca="false">Tuition_Data!G32</f>
        <v>144573</v>
      </c>
      <c r="G63" s="7" t="n">
        <f aca="false">SUMIFS(Salary_Data!$C$2:$C$13,Salary_Data!$A$2:$A$13,A63,Salary_Data!$B$2:$B$13,D63)</f>
        <v>49280</v>
      </c>
      <c r="H63" s="8" t="n">
        <f aca="false">E63/G63</f>
        <v>1.78967126623377</v>
      </c>
      <c r="I63" s="8" t="n">
        <f aca="false">F63/G63</f>
        <v>2.93370535714286</v>
      </c>
      <c r="J63" s="9" t="n">
        <f aca="false">((5*G63-F63)/F63)*100</f>
        <v>70.432930076847</v>
      </c>
      <c r="K63" s="9" t="n">
        <f aca="false">((10*G63-F63)/F63)*100</f>
        <v>240.865860153694</v>
      </c>
    </row>
    <row r="64" customFormat="false" ht="15" hidden="false" customHeight="true" outlineLevel="0" collapsed="false">
      <c r="A64" s="7" t="str">
        <f aca="false">Tuition_Data!A33</f>
        <v>Australia</v>
      </c>
      <c r="B64" s="7" t="str">
        <f aca="false">Tuition_Data!B33</f>
        <v>Master of Data Science</v>
      </c>
      <c r="C64" s="7" t="str">
        <f aca="false">Tuition_Data!C33</f>
        <v>University of Melbourne</v>
      </c>
      <c r="D64" s="7" t="s">
        <v>152</v>
      </c>
      <c r="E64" s="7" t="n">
        <f aca="false">Tuition_Data!D33</f>
        <v>85232</v>
      </c>
      <c r="F64" s="7" t="n">
        <f aca="false">Tuition_Data!G33</f>
        <v>142722</v>
      </c>
      <c r="G64" s="7" t="n">
        <f aca="false">SUMIFS(Salary_Data!$C$2:$C$13,Salary_Data!$A$2:$A$13,A64,Salary_Data!$B$2:$B$13,D64)</f>
        <v>45435</v>
      </c>
      <c r="H64" s="8" t="n">
        <f aca="false">E64/G64</f>
        <v>1.87591064157588</v>
      </c>
      <c r="I64" s="8" t="n">
        <f aca="false">F64/G64</f>
        <v>3.1412347309343</v>
      </c>
      <c r="J64" s="9" t="n">
        <f aca="false">((5*G64-F64)/F64)*100</f>
        <v>59.173077731534</v>
      </c>
      <c r="K64" s="9" t="n">
        <f aca="false">((10*G64-F64)/F64)*100</f>
        <v>218.346155463068</v>
      </c>
    </row>
    <row r="65" customFormat="false" ht="15" hidden="false" customHeight="true" outlineLevel="0" collapsed="false">
      <c r="A65" s="7" t="str">
        <f aca="false">Tuition_Data!A33</f>
        <v>Australia</v>
      </c>
      <c r="B65" s="7" t="str">
        <f aca="false">Tuition_Data!B33</f>
        <v>Master of Data Science</v>
      </c>
      <c r="C65" s="7" t="str">
        <f aca="false">Tuition_Data!C33</f>
        <v>University of Melbourne</v>
      </c>
      <c r="D65" s="7" t="s">
        <v>153</v>
      </c>
      <c r="E65" s="7" t="n">
        <f aca="false">Tuition_Data!D33</f>
        <v>85232</v>
      </c>
      <c r="F65" s="7" t="n">
        <f aca="false">Tuition_Data!G33</f>
        <v>142722</v>
      </c>
      <c r="G65" s="7" t="n">
        <f aca="false">SUMIFS(Salary_Data!$C$2:$C$13,Salary_Data!$A$2:$A$13,A65,Salary_Data!$B$2:$B$13,D65)</f>
        <v>49280</v>
      </c>
      <c r="H65" s="8" t="n">
        <f aca="false">E65/G65</f>
        <v>1.72954545454545</v>
      </c>
      <c r="I65" s="8" t="n">
        <f aca="false">F65/G65</f>
        <v>2.89614448051948</v>
      </c>
      <c r="J65" s="9" t="n">
        <f aca="false">((5*G65-F65)/F65)*100</f>
        <v>72.6433205812699</v>
      </c>
      <c r="K65" s="9" t="n">
        <f aca="false">((10*G65-F65)/F65)*100</f>
        <v>245.28664116254</v>
      </c>
    </row>
    <row r="66" customFormat="false" ht="15" hidden="false" customHeight="true" outlineLevel="0" collapsed="false">
      <c r="A66" s="7" t="str">
        <f aca="false">Tuition_Data!A34</f>
        <v>Australia</v>
      </c>
      <c r="B66" s="7" t="str">
        <f aca="false">Tuition_Data!B34</f>
        <v>Master of Data Science</v>
      </c>
      <c r="C66" s="7" t="str">
        <f aca="false">Tuition_Data!C34</f>
        <v>University of Sydney</v>
      </c>
      <c r="D66" s="7" t="s">
        <v>152</v>
      </c>
      <c r="E66" s="7" t="n">
        <f aca="false">Tuition_Data!D34</f>
        <v>63836</v>
      </c>
      <c r="F66" s="7" t="n">
        <f aca="false">Tuition_Data!G34</f>
        <v>121327</v>
      </c>
      <c r="G66" s="7" t="n">
        <f aca="false">SUMIFS(Salary_Data!$C$2:$C$13,Salary_Data!$A$2:$A$13,A66,Salary_Data!$B$2:$B$13,D66)</f>
        <v>45435</v>
      </c>
      <c r="H66" s="8" t="n">
        <f aca="false">E66/G66</f>
        <v>1.40499614834379</v>
      </c>
      <c r="I66" s="8" t="n">
        <f aca="false">F66/G66</f>
        <v>2.67034224716628</v>
      </c>
      <c r="J66" s="9" t="n">
        <f aca="false">((5*G66-F66)/F66)*100</f>
        <v>87.2419164736621</v>
      </c>
      <c r="K66" s="9" t="n">
        <f aca="false">((10*G66-F66)/F66)*100</f>
        <v>274.483832947324</v>
      </c>
    </row>
    <row r="67" customFormat="false" ht="15" hidden="false" customHeight="true" outlineLevel="0" collapsed="false">
      <c r="A67" s="7" t="str">
        <f aca="false">Tuition_Data!A34</f>
        <v>Australia</v>
      </c>
      <c r="B67" s="7" t="str">
        <f aca="false">Tuition_Data!B34</f>
        <v>Master of Data Science</v>
      </c>
      <c r="C67" s="7" t="str">
        <f aca="false">Tuition_Data!C34</f>
        <v>University of Sydney</v>
      </c>
      <c r="D67" s="7" t="s">
        <v>153</v>
      </c>
      <c r="E67" s="7" t="n">
        <f aca="false">Tuition_Data!D34</f>
        <v>63836</v>
      </c>
      <c r="F67" s="7" t="n">
        <f aca="false">Tuition_Data!G34</f>
        <v>121327</v>
      </c>
      <c r="G67" s="7" t="n">
        <f aca="false">SUMIFS(Salary_Data!$C$2:$C$13,Salary_Data!$A$2:$A$13,A67,Salary_Data!$B$2:$B$13,D67)</f>
        <v>49280</v>
      </c>
      <c r="H67" s="8" t="n">
        <f aca="false">E67/G67</f>
        <v>1.29537337662338</v>
      </c>
      <c r="I67" s="8" t="n">
        <f aca="false">F67/G67</f>
        <v>2.46199269480519</v>
      </c>
      <c r="J67" s="9" t="n">
        <f aca="false">((5*G67-F67)/F67)*100</f>
        <v>103.087523799319</v>
      </c>
      <c r="K67" s="9" t="n">
        <f aca="false">((10*G67-F67)/F67)*100</f>
        <v>306.175047598638</v>
      </c>
    </row>
    <row r="68" customFormat="false" ht="15" hidden="false" customHeight="true" outlineLevel="0" collapsed="false">
      <c r="A68" s="7" t="str">
        <f aca="false">Tuition_Data!A35</f>
        <v>Australia</v>
      </c>
      <c r="B68" s="7" t="str">
        <f aca="false">Tuition_Data!B35</f>
        <v>Master of Statistics</v>
      </c>
      <c r="C68" s="7" t="str">
        <f aca="false">Tuition_Data!C35</f>
        <v>Australian National University</v>
      </c>
      <c r="D68" s="7" t="s">
        <v>152</v>
      </c>
      <c r="E68" s="7" t="n">
        <f aca="false">Tuition_Data!D35</f>
        <v>78563</v>
      </c>
      <c r="F68" s="7" t="n">
        <f aca="false">Tuition_Data!G35</f>
        <v>130454</v>
      </c>
      <c r="G68" s="7" t="n">
        <f aca="false">SUMIFS(Salary_Data!$C$2:$C$13,Salary_Data!$A$2:$A$13,A68,Salary_Data!$B$2:$B$13,D68)</f>
        <v>45435</v>
      </c>
      <c r="H68" s="8" t="n">
        <f aca="false">E68/G68</f>
        <v>1.72912952569605</v>
      </c>
      <c r="I68" s="8" t="n">
        <f aca="false">F68/G68</f>
        <v>2.87122262572906</v>
      </c>
      <c r="J68" s="9" t="n">
        <f aca="false">((5*G68-F68)/F68)*100</f>
        <v>74.141843101783</v>
      </c>
      <c r="K68" s="9" t="n">
        <f aca="false">((10*G68-F68)/F68)*100</f>
        <v>248.283686203566</v>
      </c>
    </row>
    <row r="69" customFormat="false" ht="15" hidden="false" customHeight="true" outlineLevel="0" collapsed="false">
      <c r="A69" s="7" t="str">
        <f aca="false">Tuition_Data!A35</f>
        <v>Australia</v>
      </c>
      <c r="B69" s="7" t="str">
        <f aca="false">Tuition_Data!B35</f>
        <v>Master of Statistics</v>
      </c>
      <c r="C69" s="7" t="str">
        <f aca="false">Tuition_Data!C35</f>
        <v>Australian National University</v>
      </c>
      <c r="D69" s="7" t="s">
        <v>153</v>
      </c>
      <c r="E69" s="7" t="n">
        <f aca="false">Tuition_Data!D35</f>
        <v>78563</v>
      </c>
      <c r="F69" s="7" t="n">
        <f aca="false">Tuition_Data!G35</f>
        <v>130454</v>
      </c>
      <c r="G69" s="7" t="n">
        <f aca="false">SUMIFS(Salary_Data!$C$2:$C$13,Salary_Data!$A$2:$A$13,A69,Salary_Data!$B$2:$B$13,D69)</f>
        <v>49280</v>
      </c>
      <c r="H69" s="8" t="n">
        <f aca="false">E69/G69</f>
        <v>1.59421672077922</v>
      </c>
      <c r="I69" s="8" t="n">
        <f aca="false">F69/G69</f>
        <v>2.64719967532468</v>
      </c>
      <c r="J69" s="9" t="n">
        <f aca="false">((5*G69-F69)/F69)*100</f>
        <v>88.8788385177917</v>
      </c>
      <c r="K69" s="9" t="n">
        <f aca="false">((10*G69-F69)/F69)*100</f>
        <v>277.757677035583</v>
      </c>
    </row>
    <row r="70" customFormat="false" ht="15" hidden="false" customHeight="true" outlineLevel="0" collapsed="false">
      <c r="A70" s="7" t="str">
        <f aca="false">Tuition_Data!A36</f>
        <v>Australia</v>
      </c>
      <c r="B70" s="7" t="str">
        <f aca="false">Tuition_Data!B36</f>
        <v>Master of Data Science</v>
      </c>
      <c r="C70" s="7" t="str">
        <f aca="false">Tuition_Data!C36</f>
        <v>Monash University</v>
      </c>
      <c r="D70" s="7" t="s">
        <v>152</v>
      </c>
      <c r="E70" s="7" t="n">
        <f aca="false">Tuition_Data!D36</f>
        <v>77975</v>
      </c>
      <c r="F70" s="7" t="n">
        <f aca="false">Tuition_Data!G36</f>
        <v>131966</v>
      </c>
      <c r="G70" s="7" t="n">
        <f aca="false">SUMIFS(Salary_Data!$C$2:$C$13,Salary_Data!$A$2:$A$13,A70,Salary_Data!$B$2:$B$13,D70)</f>
        <v>45435</v>
      </c>
      <c r="H70" s="8" t="n">
        <f aca="false">E70/G70</f>
        <v>1.71618796082315</v>
      </c>
      <c r="I70" s="8" t="n">
        <f aca="false">F70/G70</f>
        <v>2.90450093540222</v>
      </c>
      <c r="J70" s="9" t="n">
        <f aca="false">((5*G70-F70)/F70)*100</f>
        <v>72.1466135216647</v>
      </c>
      <c r="K70" s="9" t="n">
        <f aca="false">((10*G70-F70)/F70)*100</f>
        <v>244.293227043329</v>
      </c>
    </row>
    <row r="71" customFormat="false" ht="15" hidden="false" customHeight="true" outlineLevel="0" collapsed="false">
      <c r="A71" s="7" t="str">
        <f aca="false">Tuition_Data!A36</f>
        <v>Australia</v>
      </c>
      <c r="B71" s="7" t="str">
        <f aca="false">Tuition_Data!B36</f>
        <v>Master of Data Science</v>
      </c>
      <c r="C71" s="7" t="str">
        <f aca="false">Tuition_Data!C36</f>
        <v>Monash University</v>
      </c>
      <c r="D71" s="7" t="s">
        <v>153</v>
      </c>
      <c r="E71" s="7" t="n">
        <f aca="false">Tuition_Data!D36</f>
        <v>77975</v>
      </c>
      <c r="F71" s="7" t="n">
        <f aca="false">Tuition_Data!G36</f>
        <v>131966</v>
      </c>
      <c r="G71" s="7" t="n">
        <f aca="false">SUMIFS(Salary_Data!$C$2:$C$13,Salary_Data!$A$2:$A$13,A71,Salary_Data!$B$2:$B$13,D71)</f>
        <v>49280</v>
      </c>
      <c r="H71" s="8" t="n">
        <f aca="false">E71/G71</f>
        <v>1.5822849025974</v>
      </c>
      <c r="I71" s="8" t="n">
        <f aca="false">F71/G71</f>
        <v>2.67788149350649</v>
      </c>
      <c r="J71" s="9" t="n">
        <f aca="false">((5*G71-F71)/F71)*100</f>
        <v>86.7147598623888</v>
      </c>
      <c r="K71" s="9" t="n">
        <f aca="false">((10*G71-F71)/F71)*100</f>
        <v>273.429519724778</v>
      </c>
    </row>
    <row r="72" customFormat="false" ht="15" hidden="false" customHeight="true" outlineLevel="0" collapsed="false">
      <c r="A72" s="7" t="str">
        <f aca="false">Tuition_Data!A37</f>
        <v>Australia</v>
      </c>
      <c r="B72" s="7" t="str">
        <f aca="false">Tuition_Data!B37</f>
        <v>Master of Data Science</v>
      </c>
      <c r="C72" s="7" t="str">
        <f aca="false">Tuition_Data!C37</f>
        <v>University of Queensland</v>
      </c>
      <c r="D72" s="7" t="s">
        <v>152</v>
      </c>
      <c r="E72" s="7" t="n">
        <f aca="false">Tuition_Data!D37</f>
        <v>85328</v>
      </c>
      <c r="F72" s="7" t="n">
        <f aca="false">Tuition_Data!G37</f>
        <v>129691</v>
      </c>
      <c r="G72" s="7" t="n">
        <f aca="false">SUMIFS(Salary_Data!$C$2:$C$13,Salary_Data!$A$2:$A$13,A72,Salary_Data!$B$2:$B$13,D72)</f>
        <v>45435</v>
      </c>
      <c r="H72" s="8" t="n">
        <f aca="false">E72/G72</f>
        <v>1.87802355012655</v>
      </c>
      <c r="I72" s="8" t="n">
        <f aca="false">F72/G72</f>
        <v>2.854429404644</v>
      </c>
      <c r="J72" s="9" t="n">
        <f aca="false">((5*G72-F72)/F72)*100</f>
        <v>75.1663569561496</v>
      </c>
      <c r="K72" s="9" t="n">
        <f aca="false">((10*G72-F72)/F72)*100</f>
        <v>250.332713912299</v>
      </c>
    </row>
    <row r="73" customFormat="false" ht="15" hidden="false" customHeight="true" outlineLevel="0" collapsed="false">
      <c r="A73" s="7" t="str">
        <f aca="false">Tuition_Data!A37</f>
        <v>Australia</v>
      </c>
      <c r="B73" s="7" t="str">
        <f aca="false">Tuition_Data!B37</f>
        <v>Master of Data Science</v>
      </c>
      <c r="C73" s="7" t="str">
        <f aca="false">Tuition_Data!C37</f>
        <v>University of Queensland</v>
      </c>
      <c r="D73" s="7" t="s">
        <v>153</v>
      </c>
      <c r="E73" s="7" t="n">
        <f aca="false">Tuition_Data!D37</f>
        <v>85328</v>
      </c>
      <c r="F73" s="7" t="n">
        <f aca="false">Tuition_Data!G37</f>
        <v>129691</v>
      </c>
      <c r="G73" s="7" t="n">
        <f aca="false">SUMIFS(Salary_Data!$C$2:$C$13,Salary_Data!$A$2:$A$13,A73,Salary_Data!$B$2:$B$13,D73)</f>
        <v>49280</v>
      </c>
      <c r="H73" s="8" t="n">
        <f aca="false">E73/G73</f>
        <v>1.73149350649351</v>
      </c>
      <c r="I73" s="8" t="n">
        <f aca="false">F73/G73</f>
        <v>2.63171672077922</v>
      </c>
      <c r="J73" s="9" t="n">
        <f aca="false">((5*G73-F73)/F73)*100</f>
        <v>89.9900532804898</v>
      </c>
      <c r="K73" s="9" t="n">
        <f aca="false">((10*G73-F73)/F73)*100</f>
        <v>279.98010656098</v>
      </c>
    </row>
    <row r="74" customFormat="false" ht="15" hidden="false" customHeight="true" outlineLevel="0" collapsed="false">
      <c r="A74" s="7" t="str">
        <f aca="false">Tuition_Data!A38</f>
        <v>Australia</v>
      </c>
      <c r="B74" s="7" t="str">
        <f aca="false">Tuition_Data!B38</f>
        <v>Master of Data Science</v>
      </c>
      <c r="C74" s="7" t="str">
        <f aca="false">Tuition_Data!C38</f>
        <v>University of Western Australia</v>
      </c>
      <c r="D74" s="7" t="s">
        <v>152</v>
      </c>
      <c r="E74" s="7" t="n">
        <f aca="false">Tuition_Data!D38</f>
        <v>64956</v>
      </c>
      <c r="F74" s="7" t="n">
        <f aca="false">Tuition_Data!G38</f>
        <v>137425</v>
      </c>
      <c r="G74" s="7" t="n">
        <f aca="false">SUMIFS(Salary_Data!$C$2:$C$13,Salary_Data!$A$2:$A$13,A74,Salary_Data!$B$2:$B$13,D74)</f>
        <v>45435</v>
      </c>
      <c r="H74" s="8" t="n">
        <f aca="false">E74/G74</f>
        <v>1.42964674810168</v>
      </c>
      <c r="I74" s="8" t="n">
        <f aca="false">F74/G74</f>
        <v>3.0246505997579</v>
      </c>
      <c r="J74" s="9" t="n">
        <f aca="false">((5*G74-F74)/F74)*100</f>
        <v>65.3083500090959</v>
      </c>
      <c r="K74" s="9" t="n">
        <f aca="false">((10*G74-F74)/F74)*100</f>
        <v>230.616700018192</v>
      </c>
    </row>
    <row r="75" customFormat="false" ht="15" hidden="false" customHeight="true" outlineLevel="0" collapsed="false">
      <c r="A75" s="7" t="str">
        <f aca="false">Tuition_Data!A38</f>
        <v>Australia</v>
      </c>
      <c r="B75" s="7" t="str">
        <f aca="false">Tuition_Data!B38</f>
        <v>Master of Data Science</v>
      </c>
      <c r="C75" s="7" t="str">
        <f aca="false">Tuition_Data!C38</f>
        <v>University of Western Australia</v>
      </c>
      <c r="D75" s="7" t="s">
        <v>153</v>
      </c>
      <c r="E75" s="7" t="n">
        <f aca="false">Tuition_Data!D38</f>
        <v>64956</v>
      </c>
      <c r="F75" s="7" t="n">
        <f aca="false">Tuition_Data!G38</f>
        <v>137425</v>
      </c>
      <c r="G75" s="7" t="n">
        <f aca="false">SUMIFS(Salary_Data!$C$2:$C$13,Salary_Data!$A$2:$A$13,A75,Salary_Data!$B$2:$B$13,D75)</f>
        <v>49280</v>
      </c>
      <c r="H75" s="8" t="n">
        <f aca="false">E75/G75</f>
        <v>1.31810064935065</v>
      </c>
      <c r="I75" s="8" t="n">
        <f aca="false">F75/G75</f>
        <v>2.78865665584416</v>
      </c>
      <c r="J75" s="9" t="n">
        <f aca="false">((5*G75-F75)/F75)*100</f>
        <v>79.2977987993451</v>
      </c>
      <c r="K75" s="9" t="n">
        <f aca="false">((10*G75-F75)/F75)*100</f>
        <v>258.59559759869</v>
      </c>
    </row>
    <row r="76" customFormat="false" ht="15" hidden="false" customHeight="true" outlineLevel="0" collapsed="false">
      <c r="A76" s="7" t="str">
        <f aca="false">Tuition_Data!A39</f>
        <v>Australia</v>
      </c>
      <c r="B76" s="7" t="str">
        <f aca="false">Tuition_Data!B39</f>
        <v>Master of Data Science</v>
      </c>
      <c r="C76" s="7" t="str">
        <f aca="false">Tuition_Data!C39</f>
        <v>Adelaide University</v>
      </c>
      <c r="D76" s="7" t="s">
        <v>152</v>
      </c>
      <c r="E76" s="7" t="n">
        <f aca="false">Tuition_Data!D39</f>
        <v>76855</v>
      </c>
      <c r="F76" s="7" t="n">
        <f aca="false">Tuition_Data!G39</f>
        <v>116567</v>
      </c>
      <c r="G76" s="7" t="n">
        <f aca="false">SUMIFS(Salary_Data!$C$2:$C$13,Salary_Data!$A$2:$A$13,A76,Salary_Data!$B$2:$B$13,D76)</f>
        <v>45435</v>
      </c>
      <c r="H76" s="8" t="n">
        <f aca="false">E76/G76</f>
        <v>1.69153736106526</v>
      </c>
      <c r="I76" s="8" t="n">
        <f aca="false">F76/G76</f>
        <v>2.56557719819522</v>
      </c>
      <c r="J76" s="9" t="n">
        <f aca="false">((5*G76-F76)/F76)*100</f>
        <v>94.8879185361209</v>
      </c>
      <c r="K76" s="9" t="n">
        <f aca="false">((10*G76-F76)/F76)*100</f>
        <v>289.775837072242</v>
      </c>
    </row>
    <row r="77" customFormat="false" ht="15" hidden="false" customHeight="true" outlineLevel="0" collapsed="false">
      <c r="A77" s="7" t="str">
        <f aca="false">Tuition_Data!A39</f>
        <v>Australia</v>
      </c>
      <c r="B77" s="7" t="str">
        <f aca="false">Tuition_Data!B39</f>
        <v>Master of Data Science</v>
      </c>
      <c r="C77" s="7" t="str">
        <f aca="false">Tuition_Data!C39</f>
        <v>Adelaide University</v>
      </c>
      <c r="D77" s="7" t="s">
        <v>153</v>
      </c>
      <c r="E77" s="7" t="n">
        <f aca="false">Tuition_Data!D39</f>
        <v>76855</v>
      </c>
      <c r="F77" s="7" t="n">
        <f aca="false">Tuition_Data!G39</f>
        <v>116567</v>
      </c>
      <c r="G77" s="7" t="n">
        <f aca="false">SUMIFS(Salary_Data!$C$2:$C$13,Salary_Data!$A$2:$A$13,A77,Salary_Data!$B$2:$B$13,D77)</f>
        <v>49280</v>
      </c>
      <c r="H77" s="8" t="n">
        <f aca="false">E77/G77</f>
        <v>1.55955762987013</v>
      </c>
      <c r="I77" s="8" t="n">
        <f aca="false">F77/G77</f>
        <v>2.36540178571429</v>
      </c>
      <c r="J77" s="9" t="n">
        <f aca="false">((5*G77-F77)/F77)*100</f>
        <v>111.380579409267</v>
      </c>
      <c r="K77" s="9" t="n">
        <f aca="false">((10*G77-F77)/F77)*100</f>
        <v>322.761158818534</v>
      </c>
    </row>
    <row r="78" customFormat="false" ht="15" hidden="false" customHeight="true" outlineLevel="0" collapsed="false">
      <c r="A78" s="7" t="str">
        <f aca="false">Tuition_Data!A40</f>
        <v>Australia</v>
      </c>
      <c r="B78" s="7" t="str">
        <f aca="false">Tuition_Data!B40</f>
        <v>Master of Data Science and Innovation</v>
      </c>
      <c r="C78" s="7" t="str">
        <f aca="false">Tuition_Data!C40</f>
        <v>University of Technology Sydney</v>
      </c>
      <c r="D78" s="7" t="s">
        <v>152</v>
      </c>
      <c r="E78" s="7" t="n">
        <f aca="false">Tuition_Data!D40</f>
        <v>70648</v>
      </c>
      <c r="F78" s="7" t="n">
        <f aca="false">Tuition_Data!G40</f>
        <v>118862</v>
      </c>
      <c r="G78" s="7" t="n">
        <f aca="false">SUMIFS(Salary_Data!$C$2:$C$13,Salary_Data!$A$2:$A$13,A78,Salary_Data!$B$2:$B$13,D78)</f>
        <v>45435</v>
      </c>
      <c r="H78" s="8" t="n">
        <f aca="false">E78/G78</f>
        <v>1.55492461758556</v>
      </c>
      <c r="I78" s="8" t="n">
        <f aca="false">F78/G78</f>
        <v>2.61608891823484</v>
      </c>
      <c r="J78" s="9" t="n">
        <f aca="false">((5*G78-F78)/F78)*100</f>
        <v>91.1250021032794</v>
      </c>
      <c r="K78" s="9" t="n">
        <f aca="false">((10*G78-F78)/F78)*100</f>
        <v>282.250004206559</v>
      </c>
    </row>
    <row r="79" customFormat="false" ht="15" hidden="false" customHeight="true" outlineLevel="0" collapsed="false">
      <c r="A79" s="7" t="str">
        <f aca="false">Tuition_Data!A40</f>
        <v>Australia</v>
      </c>
      <c r="B79" s="7" t="str">
        <f aca="false">Tuition_Data!B40</f>
        <v>Master of Data Science and Innovation</v>
      </c>
      <c r="C79" s="7" t="str">
        <f aca="false">Tuition_Data!C40</f>
        <v>University of Technology Sydney</v>
      </c>
      <c r="D79" s="7" t="s">
        <v>153</v>
      </c>
      <c r="E79" s="7" t="n">
        <f aca="false">Tuition_Data!D40</f>
        <v>70648</v>
      </c>
      <c r="F79" s="7" t="n">
        <f aca="false">Tuition_Data!G40</f>
        <v>118862</v>
      </c>
      <c r="G79" s="7" t="n">
        <f aca="false">SUMIFS(Salary_Data!$C$2:$C$13,Salary_Data!$A$2:$A$13,A79,Salary_Data!$B$2:$B$13,D79)</f>
        <v>49280</v>
      </c>
      <c r="H79" s="8" t="n">
        <f aca="false">E79/G79</f>
        <v>1.4336038961039</v>
      </c>
      <c r="I79" s="8" t="n">
        <f aca="false">F79/G79</f>
        <v>2.4119724025974</v>
      </c>
      <c r="J79" s="9" t="n">
        <f aca="false">((5*G79-F79)/F79)*100</f>
        <v>107.299220945298</v>
      </c>
      <c r="K79" s="9" t="n">
        <f aca="false">((10*G79-F79)/F79)*100</f>
        <v>314.598441890596</v>
      </c>
    </row>
    <row r="80" customFormat="false" ht="15" hidden="false" customHeight="true" outlineLevel="0" collapsed="false">
      <c r="A80" s="7" t="str">
        <f aca="false">Tuition_Data!A41</f>
        <v>Australia</v>
      </c>
      <c r="B80" s="7" t="str">
        <f aca="false">Tuition_Data!B41</f>
        <v>Master of Data Science</v>
      </c>
      <c r="C80" s="7" t="str">
        <f aca="false">Tuition_Data!C41</f>
        <v>RMIT University</v>
      </c>
      <c r="D80" s="7" t="s">
        <v>152</v>
      </c>
      <c r="E80" s="7" t="n">
        <f aca="false">Tuition_Data!D41</f>
        <v>65852</v>
      </c>
      <c r="F80" s="7" t="n">
        <f aca="false">Tuition_Data!G41</f>
        <v>119355</v>
      </c>
      <c r="G80" s="7" t="n">
        <f aca="false">SUMIFS(Salary_Data!$C$2:$C$13,Salary_Data!$A$2:$A$13,A80,Salary_Data!$B$2:$B$13,D80)</f>
        <v>45435</v>
      </c>
      <c r="H80" s="8" t="n">
        <f aca="false">E80/G80</f>
        <v>1.449367227908</v>
      </c>
      <c r="I80" s="8" t="n">
        <f aca="false">F80/G80</f>
        <v>2.62693958402113</v>
      </c>
      <c r="J80" s="9" t="n">
        <f aca="false">((5*G80-F80)/F80)*100</f>
        <v>90.3355536006033</v>
      </c>
      <c r="K80" s="9" t="n">
        <f aca="false">((10*G80-F80)/F80)*100</f>
        <v>280.671107201207</v>
      </c>
    </row>
    <row r="81" customFormat="false" ht="15" hidden="false" customHeight="true" outlineLevel="0" collapsed="false">
      <c r="A81" s="7" t="str">
        <f aca="false">Tuition_Data!A41</f>
        <v>Australia</v>
      </c>
      <c r="B81" s="7" t="str">
        <f aca="false">Tuition_Data!B41</f>
        <v>Master of Data Science</v>
      </c>
      <c r="C81" s="7" t="str">
        <f aca="false">Tuition_Data!C41</f>
        <v>RMIT University</v>
      </c>
      <c r="D81" s="7" t="s">
        <v>153</v>
      </c>
      <c r="E81" s="7" t="n">
        <f aca="false">Tuition_Data!D41</f>
        <v>65852</v>
      </c>
      <c r="F81" s="7" t="n">
        <f aca="false">Tuition_Data!G41</f>
        <v>119355</v>
      </c>
      <c r="G81" s="7" t="n">
        <f aca="false">SUMIFS(Salary_Data!$C$2:$C$13,Salary_Data!$A$2:$A$13,A81,Salary_Data!$B$2:$B$13,D81)</f>
        <v>49280</v>
      </c>
      <c r="H81" s="8" t="n">
        <f aca="false">E81/G81</f>
        <v>1.33628246753247</v>
      </c>
      <c r="I81" s="8" t="n">
        <f aca="false">F81/G81</f>
        <v>2.42197646103896</v>
      </c>
      <c r="J81" s="9" t="n">
        <f aca="false">((5*G81-F81)/F81)*100</f>
        <v>106.442964266265</v>
      </c>
      <c r="K81" s="9" t="n">
        <f aca="false">((10*G81-F81)/F81)*100</f>
        <v>312.885928532529</v>
      </c>
    </row>
    <row r="82" customFormat="false" ht="15" hidden="false" customHeight="true" outlineLevel="0" collapsed="false">
      <c r="A82" s="7" t="str">
        <f aca="false">Tuition_Data!A42</f>
        <v>Germany</v>
      </c>
      <c r="B82" s="7" t="str">
        <f aca="false">Tuition_Data!B42</f>
        <v>M.Sc. Data Engineering and Analytics</v>
      </c>
      <c r="C82" s="7" t="str">
        <f aca="false">Tuition_Data!C42</f>
        <v>Technical University of Munich</v>
      </c>
      <c r="D82" s="7" t="s">
        <v>152</v>
      </c>
      <c r="E82" s="7" t="n">
        <f aca="false">Tuition_Data!D42</f>
        <v>27334</v>
      </c>
      <c r="F82" s="7" t="n">
        <f aca="false">Tuition_Data!G42</f>
        <v>62867</v>
      </c>
      <c r="G82" s="7" t="n">
        <f aca="false">SUMIFS(Salary_Data!$C$2:$C$13,Salary_Data!$A$2:$A$13,A82,Salary_Data!$B$2:$B$13,D82)</f>
        <v>41467</v>
      </c>
      <c r="H82" s="8" t="n">
        <f aca="false">E82/G82</f>
        <v>0.659174765476162</v>
      </c>
      <c r="I82" s="8" t="n">
        <f aca="false">F82/G82</f>
        <v>1.51607302192105</v>
      </c>
      <c r="J82" s="9" t="n">
        <f aca="false">((5*G82-F82)/F82)*100</f>
        <v>229.799417818569</v>
      </c>
      <c r="K82" s="9" t="n">
        <f aca="false">((10*G82-F82)/F82)*100</f>
        <v>559.598835637139</v>
      </c>
    </row>
    <row r="83" customFormat="false" ht="15" hidden="false" customHeight="true" outlineLevel="0" collapsed="false">
      <c r="A83" s="7" t="str">
        <f aca="false">Tuition_Data!A42</f>
        <v>Germany</v>
      </c>
      <c r="B83" s="7" t="str">
        <f aca="false">Tuition_Data!B42</f>
        <v>M.Sc. Data Engineering and Analytics</v>
      </c>
      <c r="C83" s="7" t="str">
        <f aca="false">Tuition_Data!C42</f>
        <v>Technical University of Munich</v>
      </c>
      <c r="D83" s="7" t="s">
        <v>153</v>
      </c>
      <c r="E83" s="7" t="n">
        <f aca="false">Tuition_Data!D42</f>
        <v>27334</v>
      </c>
      <c r="F83" s="7" t="n">
        <f aca="false">Tuition_Data!G42</f>
        <v>62867</v>
      </c>
      <c r="G83" s="7" t="n">
        <f aca="false">SUMIFS(Salary_Data!$C$2:$C$13,Salary_Data!$A$2:$A$13,A83,Salary_Data!$B$2:$B$13,D83)</f>
        <v>46310</v>
      </c>
      <c r="H83" s="8" t="n">
        <f aca="false">E83/G83</f>
        <v>0.590239689052041</v>
      </c>
      <c r="I83" s="8" t="n">
        <f aca="false">F83/G83</f>
        <v>1.35752537248974</v>
      </c>
      <c r="J83" s="9" t="n">
        <f aca="false">((5*G83-F83)/F83)*100</f>
        <v>268.317241159909</v>
      </c>
      <c r="K83" s="9" t="n">
        <f aca="false">((10*G83-F83)/F83)*100</f>
        <v>636.634482319818</v>
      </c>
    </row>
    <row r="84" customFormat="false" ht="15" hidden="false" customHeight="true" outlineLevel="0" collapsed="false">
      <c r="A84" s="7" t="str">
        <f aca="false">Tuition_Data!A43</f>
        <v>Germany</v>
      </c>
      <c r="B84" s="7" t="str">
        <f aca="false">Tuition_Data!B43</f>
        <v>M.Sc. Statistics and Data Science</v>
      </c>
      <c r="C84" s="7" t="str">
        <f aca="false">Tuition_Data!C43</f>
        <v>LMU Munich</v>
      </c>
      <c r="D84" s="7" t="s">
        <v>152</v>
      </c>
      <c r="E84" s="7" t="n">
        <f aca="false">Tuition_Data!D43</f>
        <v>0</v>
      </c>
      <c r="F84" s="7" t="n">
        <f aca="false">Tuition_Data!G43</f>
        <v>41000</v>
      </c>
      <c r="G84" s="7" t="n">
        <f aca="false">SUMIFS(Salary_Data!$C$2:$C$13,Salary_Data!$A$2:$A$13,A84,Salary_Data!$B$2:$B$13,D84)</f>
        <v>41467</v>
      </c>
      <c r="H84" s="8" t="n">
        <f aca="false">E84/G84</f>
        <v>0</v>
      </c>
      <c r="I84" s="8" t="n">
        <f aca="false">F84/G84</f>
        <v>0.988738032652471</v>
      </c>
      <c r="J84" s="9" t="n">
        <f aca="false">((5*G84-F84)/F84)*100</f>
        <v>405.69512195122</v>
      </c>
      <c r="K84" s="9" t="n">
        <f aca="false">((10*G84-F84)/F84)*100</f>
        <v>911.390243902439</v>
      </c>
    </row>
    <row r="85" customFormat="false" ht="15" hidden="false" customHeight="true" outlineLevel="0" collapsed="false">
      <c r="A85" s="7" t="str">
        <f aca="false">Tuition_Data!A43</f>
        <v>Germany</v>
      </c>
      <c r="B85" s="7" t="str">
        <f aca="false">Tuition_Data!B43</f>
        <v>M.Sc. Statistics and Data Science</v>
      </c>
      <c r="C85" s="7" t="str">
        <f aca="false">Tuition_Data!C43</f>
        <v>LMU Munich</v>
      </c>
      <c r="D85" s="7" t="s">
        <v>153</v>
      </c>
      <c r="E85" s="7" t="n">
        <f aca="false">Tuition_Data!D43</f>
        <v>0</v>
      </c>
      <c r="F85" s="7" t="n">
        <f aca="false">Tuition_Data!G43</f>
        <v>41000</v>
      </c>
      <c r="G85" s="7" t="n">
        <f aca="false">SUMIFS(Salary_Data!$C$2:$C$13,Salary_Data!$A$2:$A$13,A85,Salary_Data!$B$2:$B$13,D85)</f>
        <v>46310</v>
      </c>
      <c r="H85" s="8" t="n">
        <f aca="false">E85/G85</f>
        <v>0</v>
      </c>
      <c r="I85" s="8" t="n">
        <f aca="false">F85/G85</f>
        <v>0.885337939969769</v>
      </c>
      <c r="J85" s="9" t="n">
        <f aca="false">((5*G85-F85)/F85)*100</f>
        <v>464.756097560976</v>
      </c>
      <c r="K85" s="9" t="n">
        <f aca="false">((10*G85-F85)/F85)*100</f>
        <v>1029.51219512195</v>
      </c>
    </row>
    <row r="86" customFormat="false" ht="15" hidden="false" customHeight="true" outlineLevel="0" collapsed="false">
      <c r="A86" s="7" t="str">
        <f aca="false">Tuition_Data!A44</f>
        <v>Germany</v>
      </c>
      <c r="B86" s="7" t="str">
        <f aca="false">Tuition_Data!B44</f>
        <v>M.Sc. Data and Computer Science</v>
      </c>
      <c r="C86" s="7" t="str">
        <f aca="false">Tuition_Data!C44</f>
        <v>Heidelberg University</v>
      </c>
      <c r="D86" s="7" t="s">
        <v>152</v>
      </c>
      <c r="E86" s="7" t="n">
        <f aca="false">Tuition_Data!D44</f>
        <v>6833</v>
      </c>
      <c r="F86" s="7" t="n">
        <f aca="false">Tuition_Data!G44</f>
        <v>34167</v>
      </c>
      <c r="G86" s="7" t="n">
        <f aca="false">SUMIFS(Salary_Data!$C$2:$C$13,Salary_Data!$A$2:$A$13,A86,Salary_Data!$B$2:$B$13,D86)</f>
        <v>41467</v>
      </c>
      <c r="H86" s="8" t="n">
        <f aca="false">E86/G86</f>
        <v>0.164781633588154</v>
      </c>
      <c r="I86" s="8" t="n">
        <f aca="false">F86/G86</f>
        <v>0.823956399064316</v>
      </c>
      <c r="J86" s="9" t="n">
        <f aca="false">((5*G86-F86)/F86)*100</f>
        <v>506.828226066087</v>
      </c>
      <c r="K86" s="9" t="n">
        <f aca="false">((10*G86-F86)/F86)*100</f>
        <v>1113.65645213217</v>
      </c>
    </row>
    <row r="87" customFormat="false" ht="15" hidden="false" customHeight="true" outlineLevel="0" collapsed="false">
      <c r="A87" s="7" t="str">
        <f aca="false">Tuition_Data!A44</f>
        <v>Germany</v>
      </c>
      <c r="B87" s="7" t="str">
        <f aca="false">Tuition_Data!B44</f>
        <v>M.Sc. Data and Computer Science</v>
      </c>
      <c r="C87" s="7" t="str">
        <f aca="false">Tuition_Data!C44</f>
        <v>Heidelberg University</v>
      </c>
      <c r="D87" s="7" t="s">
        <v>153</v>
      </c>
      <c r="E87" s="7" t="n">
        <f aca="false">Tuition_Data!D44</f>
        <v>6833</v>
      </c>
      <c r="F87" s="7" t="n">
        <f aca="false">Tuition_Data!G44</f>
        <v>34167</v>
      </c>
      <c r="G87" s="7" t="n">
        <f aca="false">SUMIFS(Salary_Data!$C$2:$C$13,Salary_Data!$A$2:$A$13,A87,Salary_Data!$B$2:$B$13,D87)</f>
        <v>46310</v>
      </c>
      <c r="H87" s="8" t="n">
        <f aca="false">E87/G87</f>
        <v>0.147549125458864</v>
      </c>
      <c r="I87" s="8" t="n">
        <f aca="false">F87/G87</f>
        <v>0.737788814510905</v>
      </c>
      <c r="J87" s="9" t="n">
        <f aca="false">((5*G87-F87)/F87)*100</f>
        <v>577.700705358972</v>
      </c>
      <c r="K87" s="9" t="n">
        <f aca="false">((10*G87-F87)/F87)*100</f>
        <v>1255.40141071794</v>
      </c>
    </row>
    <row r="88" customFormat="false" ht="15" hidden="false" customHeight="true" outlineLevel="0" collapsed="false">
      <c r="A88" s="7" t="str">
        <f aca="false">Tuition_Data!A45</f>
        <v>Germany</v>
      </c>
      <c r="B88" s="7" t="str">
        <f aca="false">Tuition_Data!B45</f>
        <v>M.Sc. Data Science</v>
      </c>
      <c r="C88" s="7" t="str">
        <f aca="false">Tuition_Data!C45</f>
        <v>Freie Universität Berlin</v>
      </c>
      <c r="D88" s="7" t="s">
        <v>152</v>
      </c>
      <c r="E88" s="7" t="n">
        <f aca="false">Tuition_Data!D45</f>
        <v>0</v>
      </c>
      <c r="F88" s="7" t="n">
        <f aca="false">Tuition_Data!G45</f>
        <v>27115</v>
      </c>
      <c r="G88" s="7" t="n">
        <f aca="false">SUMIFS(Salary_Data!$C$2:$C$13,Salary_Data!$A$2:$A$13,A88,Salary_Data!$B$2:$B$13,D88)</f>
        <v>41467</v>
      </c>
      <c r="H88" s="8" t="n">
        <f aca="false">E88/G88</f>
        <v>0</v>
      </c>
      <c r="I88" s="8" t="n">
        <f aca="false">F88/G88</f>
        <v>0.653893457448091</v>
      </c>
      <c r="J88" s="9" t="n">
        <f aca="false">((5*G88-F88)/F88)*100</f>
        <v>664.650562419325</v>
      </c>
      <c r="K88" s="9" t="n">
        <f aca="false">((10*G88-F88)/F88)*100</f>
        <v>1429.30112483865</v>
      </c>
    </row>
    <row r="89" customFormat="false" ht="15" hidden="false" customHeight="true" outlineLevel="0" collapsed="false">
      <c r="A89" s="7" t="str">
        <f aca="false">Tuition_Data!A45</f>
        <v>Germany</v>
      </c>
      <c r="B89" s="7" t="str">
        <f aca="false">Tuition_Data!B45</f>
        <v>M.Sc. Data Science</v>
      </c>
      <c r="C89" s="7" t="str">
        <f aca="false">Tuition_Data!C45</f>
        <v>Freie Universität Berlin</v>
      </c>
      <c r="D89" s="7" t="s">
        <v>153</v>
      </c>
      <c r="E89" s="7" t="n">
        <f aca="false">Tuition_Data!D45</f>
        <v>0</v>
      </c>
      <c r="F89" s="7" t="n">
        <f aca="false">Tuition_Data!G45</f>
        <v>27115</v>
      </c>
      <c r="G89" s="7" t="n">
        <f aca="false">SUMIFS(Salary_Data!$C$2:$C$13,Salary_Data!$A$2:$A$13,A89,Salary_Data!$B$2:$B$13,D89)</f>
        <v>46310</v>
      </c>
      <c r="H89" s="8" t="n">
        <f aca="false">E89/G89</f>
        <v>0</v>
      </c>
      <c r="I89" s="8" t="n">
        <f aca="false">F89/G89</f>
        <v>0.585510688836105</v>
      </c>
      <c r="J89" s="9" t="n">
        <f aca="false">((5*G89-F89)/F89)*100</f>
        <v>753.95537525355</v>
      </c>
      <c r="K89" s="9" t="n">
        <f aca="false">((10*G89-F89)/F89)*100</f>
        <v>1607.9107505071</v>
      </c>
    </row>
    <row r="90" customFormat="false" ht="15" hidden="false" customHeight="true" outlineLevel="0" collapsed="false">
      <c r="A90" s="7" t="str">
        <f aca="false">Tuition_Data!A46</f>
        <v>Germany</v>
      </c>
      <c r="B90" s="7" t="str">
        <f aca="false">Tuition_Data!B46</f>
        <v>M.Sc. Data Science</v>
      </c>
      <c r="C90" s="7" t="str">
        <f aca="false">Tuition_Data!C46</f>
        <v>RWTH Aachen University</v>
      </c>
      <c r="D90" s="7" t="s">
        <v>152</v>
      </c>
      <c r="E90" s="7" t="n">
        <f aca="false">Tuition_Data!D46</f>
        <v>0</v>
      </c>
      <c r="F90" s="7" t="n">
        <f aca="false">Tuition_Data!G46</f>
        <v>30067</v>
      </c>
      <c r="G90" s="7" t="n">
        <f aca="false">SUMIFS(Salary_Data!$C$2:$C$13,Salary_Data!$A$2:$A$13,A90,Salary_Data!$B$2:$B$13,D90)</f>
        <v>41467</v>
      </c>
      <c r="H90" s="8" t="n">
        <f aca="false">E90/G90</f>
        <v>0</v>
      </c>
      <c r="I90" s="8" t="n">
        <f aca="false">F90/G90</f>
        <v>0.725082595799069</v>
      </c>
      <c r="J90" s="9" t="n">
        <f aca="false">((5*G90-F90)/F90)*100</f>
        <v>589.57661223268</v>
      </c>
      <c r="K90" s="9" t="n">
        <f aca="false">((10*G90-F90)/F90)*100</f>
        <v>1279.15322446536</v>
      </c>
    </row>
    <row r="91" customFormat="false" ht="15" hidden="false" customHeight="true" outlineLevel="0" collapsed="false">
      <c r="A91" s="7" t="str">
        <f aca="false">Tuition_Data!A46</f>
        <v>Germany</v>
      </c>
      <c r="B91" s="7" t="str">
        <f aca="false">Tuition_Data!B46</f>
        <v>M.Sc. Data Science</v>
      </c>
      <c r="C91" s="7" t="str">
        <f aca="false">Tuition_Data!C46</f>
        <v>RWTH Aachen University</v>
      </c>
      <c r="D91" s="7" t="s">
        <v>153</v>
      </c>
      <c r="E91" s="7" t="n">
        <f aca="false">Tuition_Data!D46</f>
        <v>0</v>
      </c>
      <c r="F91" s="7" t="n">
        <f aca="false">Tuition_Data!G46</f>
        <v>30067</v>
      </c>
      <c r="G91" s="7" t="n">
        <f aca="false">SUMIFS(Salary_Data!$C$2:$C$13,Salary_Data!$A$2:$A$13,A91,Salary_Data!$B$2:$B$13,D91)</f>
        <v>46310</v>
      </c>
      <c r="H91" s="8" t="n">
        <f aca="false">E91/G91</f>
        <v>0</v>
      </c>
      <c r="I91" s="8" t="n">
        <f aca="false">F91/G91</f>
        <v>0.649255020513928</v>
      </c>
      <c r="J91" s="9" t="n">
        <f aca="false">((5*G91-F91)/F91)*100</f>
        <v>670.113413376792</v>
      </c>
      <c r="K91" s="9" t="n">
        <f aca="false">((10*G91-F91)/F91)*100</f>
        <v>1440.22682675358</v>
      </c>
    </row>
    <row r="92" customFormat="false" ht="15" hidden="false" customHeight="true" outlineLevel="0" collapsed="false">
      <c r="A92" s="7" t="str">
        <f aca="false">Tuition_Data!A47</f>
        <v>Germany</v>
      </c>
      <c r="B92" s="7" t="str">
        <f aca="false">Tuition_Data!B47</f>
        <v>M.Sc. Computational and Data Science</v>
      </c>
      <c r="C92" s="7" t="str">
        <f aca="false">Tuition_Data!C47</f>
        <v>Karlsruhe Institute of Technology</v>
      </c>
      <c r="D92" s="7" t="s">
        <v>152</v>
      </c>
      <c r="E92" s="7" t="n">
        <f aca="false">Tuition_Data!D47</f>
        <v>6833</v>
      </c>
      <c r="F92" s="7" t="n">
        <f aca="false">Tuition_Data!G47</f>
        <v>30067</v>
      </c>
      <c r="G92" s="7" t="n">
        <f aca="false">SUMIFS(Salary_Data!$C$2:$C$13,Salary_Data!$A$2:$A$13,A92,Salary_Data!$B$2:$B$13,D92)</f>
        <v>41467</v>
      </c>
      <c r="H92" s="8" t="n">
        <f aca="false">E92/G92</f>
        <v>0.164781633588154</v>
      </c>
      <c r="I92" s="8" t="n">
        <f aca="false">F92/G92</f>
        <v>0.725082595799069</v>
      </c>
      <c r="J92" s="9" t="n">
        <f aca="false">((5*G92-F92)/F92)*100</f>
        <v>589.57661223268</v>
      </c>
      <c r="K92" s="9" t="n">
        <f aca="false">((10*G92-F92)/F92)*100</f>
        <v>1279.15322446536</v>
      </c>
    </row>
    <row r="93" customFormat="false" ht="15" hidden="false" customHeight="true" outlineLevel="0" collapsed="false">
      <c r="A93" s="7" t="str">
        <f aca="false">Tuition_Data!A47</f>
        <v>Germany</v>
      </c>
      <c r="B93" s="7" t="str">
        <f aca="false">Tuition_Data!B47</f>
        <v>M.Sc. Computational and Data Science</v>
      </c>
      <c r="C93" s="7" t="str">
        <f aca="false">Tuition_Data!C47</f>
        <v>Karlsruhe Institute of Technology</v>
      </c>
      <c r="D93" s="7" t="s">
        <v>153</v>
      </c>
      <c r="E93" s="7" t="n">
        <f aca="false">Tuition_Data!D47</f>
        <v>6833</v>
      </c>
      <c r="F93" s="7" t="n">
        <f aca="false">Tuition_Data!G47</f>
        <v>30067</v>
      </c>
      <c r="G93" s="7" t="n">
        <f aca="false">SUMIFS(Salary_Data!$C$2:$C$13,Salary_Data!$A$2:$A$13,A93,Salary_Data!$B$2:$B$13,D93)</f>
        <v>46310</v>
      </c>
      <c r="H93" s="8" t="n">
        <f aca="false">E93/G93</f>
        <v>0.147549125458864</v>
      </c>
      <c r="I93" s="8" t="n">
        <f aca="false">F93/G93</f>
        <v>0.649255020513928</v>
      </c>
      <c r="J93" s="9" t="n">
        <f aca="false">((5*G93-F93)/F93)*100</f>
        <v>670.113413376792</v>
      </c>
      <c r="K93" s="9" t="n">
        <f aca="false">((10*G93-F93)/F93)*100</f>
        <v>1440.22682675358</v>
      </c>
    </row>
    <row r="94" customFormat="false" ht="15" hidden="false" customHeight="true" outlineLevel="0" collapsed="false">
      <c r="A94" s="7" t="str">
        <f aca="false">Tuition_Data!A48</f>
        <v>Germany</v>
      </c>
      <c r="B94" s="7" t="str">
        <f aca="false">Tuition_Data!B48</f>
        <v>M.Sc. Statistics</v>
      </c>
      <c r="C94" s="7" t="str">
        <f aca="false">Tuition_Data!C48</f>
        <v>Humboldt-Universität zu Berlin / BUA joint degree</v>
      </c>
      <c r="D94" s="7" t="s">
        <v>152</v>
      </c>
      <c r="E94" s="7" t="n">
        <f aca="false">Tuition_Data!D48</f>
        <v>0</v>
      </c>
      <c r="F94" s="7" t="n">
        <f aca="false">Tuition_Data!G48</f>
        <v>27115</v>
      </c>
      <c r="G94" s="7" t="n">
        <f aca="false">SUMIFS(Salary_Data!$C$2:$C$13,Salary_Data!$A$2:$A$13,A94,Salary_Data!$B$2:$B$13,D94)</f>
        <v>41467</v>
      </c>
      <c r="H94" s="8" t="n">
        <f aca="false">E94/G94</f>
        <v>0</v>
      </c>
      <c r="I94" s="8" t="n">
        <f aca="false">F94/G94</f>
        <v>0.653893457448091</v>
      </c>
      <c r="J94" s="9" t="n">
        <f aca="false">((5*G94-F94)/F94)*100</f>
        <v>664.650562419325</v>
      </c>
      <c r="K94" s="9" t="n">
        <f aca="false">((10*G94-F94)/F94)*100</f>
        <v>1429.30112483865</v>
      </c>
    </row>
    <row r="95" customFormat="false" ht="15" hidden="false" customHeight="true" outlineLevel="0" collapsed="false">
      <c r="A95" s="7" t="str">
        <f aca="false">Tuition_Data!A48</f>
        <v>Germany</v>
      </c>
      <c r="B95" s="7" t="str">
        <f aca="false">Tuition_Data!B48</f>
        <v>M.Sc. Statistics</v>
      </c>
      <c r="C95" s="7" t="str">
        <f aca="false">Tuition_Data!C48</f>
        <v>Humboldt-Universität zu Berlin / BUA joint degree</v>
      </c>
      <c r="D95" s="7" t="s">
        <v>153</v>
      </c>
      <c r="E95" s="7" t="n">
        <f aca="false">Tuition_Data!D48</f>
        <v>0</v>
      </c>
      <c r="F95" s="7" t="n">
        <f aca="false">Tuition_Data!G48</f>
        <v>27115</v>
      </c>
      <c r="G95" s="7" t="n">
        <f aca="false">SUMIFS(Salary_Data!$C$2:$C$13,Salary_Data!$A$2:$A$13,A95,Salary_Data!$B$2:$B$13,D95)</f>
        <v>46310</v>
      </c>
      <c r="H95" s="8" t="n">
        <f aca="false">E95/G95</f>
        <v>0</v>
      </c>
      <c r="I95" s="8" t="n">
        <f aca="false">F95/G95</f>
        <v>0.585510688836105</v>
      </c>
      <c r="J95" s="9" t="n">
        <f aca="false">((5*G95-F95)/F95)*100</f>
        <v>753.95537525355</v>
      </c>
      <c r="K95" s="9" t="n">
        <f aca="false">((10*G95-F95)/F95)*100</f>
        <v>1607.9107505071</v>
      </c>
    </row>
    <row r="96" customFormat="false" ht="15" hidden="false" customHeight="true" outlineLevel="0" collapsed="false">
      <c r="A96" s="7" t="str">
        <f aca="false">Tuition_Data!A49</f>
        <v>Germany</v>
      </c>
      <c r="B96" s="7" t="str">
        <f aca="false">Tuition_Data!B49</f>
        <v>M.Sc. Computational Modeling and Simulation</v>
      </c>
      <c r="C96" s="7" t="str">
        <f aca="false">Tuition_Data!C49</f>
        <v>TU Dresden</v>
      </c>
      <c r="D96" s="7" t="s">
        <v>152</v>
      </c>
      <c r="E96" s="7" t="n">
        <f aca="false">Tuition_Data!D49</f>
        <v>0</v>
      </c>
      <c r="F96" s="7" t="n">
        <f aca="false">Tuition_Data!G49</f>
        <v>28700</v>
      </c>
      <c r="G96" s="7" t="n">
        <f aca="false">SUMIFS(Salary_Data!$C$2:$C$13,Salary_Data!$A$2:$A$13,A96,Salary_Data!$B$2:$B$13,D96)</f>
        <v>41467</v>
      </c>
      <c r="H96" s="8" t="n">
        <f aca="false">E96/G96</f>
        <v>0</v>
      </c>
      <c r="I96" s="8" t="n">
        <f aca="false">F96/G96</f>
        <v>0.69211662285673</v>
      </c>
      <c r="J96" s="9" t="n">
        <f aca="false">((5*G96-F96)/F96)*100</f>
        <v>622.421602787456</v>
      </c>
      <c r="K96" s="9" t="n">
        <f aca="false">((10*G96-F96)/F96)*100</f>
        <v>1344.84320557491</v>
      </c>
    </row>
    <row r="97" customFormat="false" ht="15" hidden="false" customHeight="true" outlineLevel="0" collapsed="false">
      <c r="A97" s="7" t="str">
        <f aca="false">Tuition_Data!A49</f>
        <v>Germany</v>
      </c>
      <c r="B97" s="7" t="str">
        <f aca="false">Tuition_Data!B49</f>
        <v>M.Sc. Computational Modeling and Simulation</v>
      </c>
      <c r="C97" s="7" t="str">
        <f aca="false">Tuition_Data!C49</f>
        <v>TU Dresden</v>
      </c>
      <c r="D97" s="7" t="s">
        <v>153</v>
      </c>
      <c r="E97" s="7" t="n">
        <f aca="false">Tuition_Data!D49</f>
        <v>0</v>
      </c>
      <c r="F97" s="7" t="n">
        <f aca="false">Tuition_Data!G49</f>
        <v>28700</v>
      </c>
      <c r="G97" s="7" t="n">
        <f aca="false">SUMIFS(Salary_Data!$C$2:$C$13,Salary_Data!$A$2:$A$13,A97,Salary_Data!$B$2:$B$13,D97)</f>
        <v>46310</v>
      </c>
      <c r="H97" s="8" t="n">
        <f aca="false">E97/G97</f>
        <v>0</v>
      </c>
      <c r="I97" s="8" t="n">
        <f aca="false">F97/G97</f>
        <v>0.619736557978838</v>
      </c>
      <c r="J97" s="9" t="n">
        <f aca="false">((5*G97-F97)/F97)*100</f>
        <v>706.794425087108</v>
      </c>
      <c r="K97" s="9" t="n">
        <f aca="false">((10*G97-F97)/F97)*100</f>
        <v>1513.58885017422</v>
      </c>
    </row>
    <row r="98" customFormat="false" ht="15" hidden="false" customHeight="true" outlineLevel="0" collapsed="false">
      <c r="A98" s="7" t="str">
        <f aca="false">Tuition_Data!A50</f>
        <v>Germany</v>
      </c>
      <c r="B98" s="7" t="str">
        <f aca="false">Tuition_Data!B50</f>
        <v>M.Sc. Data Science and Artificial Intelligence</v>
      </c>
      <c r="C98" s="7" t="str">
        <f aca="false">Tuition_Data!C50</f>
        <v>University of Hamburg</v>
      </c>
      <c r="D98" s="7" t="s">
        <v>152</v>
      </c>
      <c r="E98" s="7" t="n">
        <f aca="false">Tuition_Data!D50</f>
        <v>0</v>
      </c>
      <c r="F98" s="7" t="n">
        <f aca="false">Tuition_Data!G50</f>
        <v>35397</v>
      </c>
      <c r="G98" s="7" t="n">
        <f aca="false">SUMIFS(Salary_Data!$C$2:$C$13,Salary_Data!$A$2:$A$13,A98,Salary_Data!$B$2:$B$13,D98)</f>
        <v>41467</v>
      </c>
      <c r="H98" s="8" t="n">
        <f aca="false">E98/G98</f>
        <v>0</v>
      </c>
      <c r="I98" s="8" t="n">
        <f aca="false">F98/G98</f>
        <v>0.85361854004389</v>
      </c>
      <c r="J98" s="9" t="n">
        <f aca="false">((5*G98-F98)/F98)*100</f>
        <v>485.741729525101</v>
      </c>
      <c r="K98" s="9" t="n">
        <f aca="false">((10*G98-F98)/F98)*100</f>
        <v>1071.4834590502</v>
      </c>
    </row>
    <row r="99" customFormat="false" ht="15" hidden="false" customHeight="true" outlineLevel="0" collapsed="false">
      <c r="A99" s="7" t="str">
        <f aca="false">Tuition_Data!A50</f>
        <v>Germany</v>
      </c>
      <c r="B99" s="7" t="str">
        <f aca="false">Tuition_Data!B50</f>
        <v>M.Sc. Data Science and Artificial Intelligence</v>
      </c>
      <c r="C99" s="7" t="str">
        <f aca="false">Tuition_Data!C50</f>
        <v>University of Hamburg</v>
      </c>
      <c r="D99" s="7" t="s">
        <v>153</v>
      </c>
      <c r="E99" s="7" t="n">
        <f aca="false">Tuition_Data!D50</f>
        <v>0</v>
      </c>
      <c r="F99" s="7" t="n">
        <f aca="false">Tuition_Data!G50</f>
        <v>35397</v>
      </c>
      <c r="G99" s="7" t="n">
        <f aca="false">SUMIFS(Salary_Data!$C$2:$C$13,Salary_Data!$A$2:$A$13,A99,Salary_Data!$B$2:$B$13,D99)</f>
        <v>46310</v>
      </c>
      <c r="H99" s="8" t="n">
        <f aca="false">E99/G99</f>
        <v>0</v>
      </c>
      <c r="I99" s="8" t="n">
        <f aca="false">F99/G99</f>
        <v>0.764348952709998</v>
      </c>
      <c r="J99" s="9" t="n">
        <f aca="false">((5*G99-F99)/F99)*100</f>
        <v>554.151481763991</v>
      </c>
      <c r="K99" s="9" t="n">
        <f aca="false">((10*G99-F99)/F99)*100</f>
        <v>1208.30296352798</v>
      </c>
    </row>
    <row r="100" customFormat="false" ht="15" hidden="false" customHeight="true" outlineLevel="0" collapsed="false">
      <c r="A100" s="7" t="str">
        <f aca="false">Tuition_Data!A51</f>
        <v>Germany</v>
      </c>
      <c r="B100" s="7" t="str">
        <f aca="false">Tuition_Data!B51</f>
        <v>M.Sc. Data Science</v>
      </c>
      <c r="C100" s="7" t="str">
        <f aca="false">Tuition_Data!C51</f>
        <v>FAU Erlangen–Nürnberg</v>
      </c>
      <c r="D100" s="7" t="s">
        <v>152</v>
      </c>
      <c r="E100" s="7" t="n">
        <f aca="false">Tuition_Data!D51</f>
        <v>0</v>
      </c>
      <c r="F100" s="7" t="n">
        <f aca="false">Tuition_Data!G51</f>
        <v>26514</v>
      </c>
      <c r="G100" s="7" t="n">
        <f aca="false">SUMIFS(Salary_Data!$C$2:$C$13,Salary_Data!$A$2:$A$13,A100,Salary_Data!$B$2:$B$13,D100)</f>
        <v>41467</v>
      </c>
      <c r="H100" s="8" t="n">
        <f aca="false">E100/G100</f>
        <v>0</v>
      </c>
      <c r="I100" s="8" t="n">
        <f aca="false">F100/G100</f>
        <v>0.639400004823112</v>
      </c>
      <c r="J100" s="9" t="n">
        <f aca="false">((5*G100-F100)/F100)*100</f>
        <v>681.983103266199</v>
      </c>
      <c r="K100" s="9" t="n">
        <f aca="false">((10*G100-F100)/F100)*100</f>
        <v>1463.9662065324</v>
      </c>
    </row>
    <row r="101" customFormat="false" ht="15" hidden="false" customHeight="true" outlineLevel="0" collapsed="false">
      <c r="A101" s="7" t="str">
        <f aca="false">Tuition_Data!A51</f>
        <v>Germany</v>
      </c>
      <c r="B101" s="7" t="str">
        <f aca="false">Tuition_Data!B51</f>
        <v>M.Sc. Data Science</v>
      </c>
      <c r="C101" s="7" t="str">
        <f aca="false">Tuition_Data!C51</f>
        <v>FAU Erlangen–Nürnberg</v>
      </c>
      <c r="D101" s="7" t="s">
        <v>153</v>
      </c>
      <c r="E101" s="7" t="n">
        <f aca="false">Tuition_Data!D51</f>
        <v>0</v>
      </c>
      <c r="F101" s="7" t="n">
        <f aca="false">Tuition_Data!G51</f>
        <v>26514</v>
      </c>
      <c r="G101" s="7" t="n">
        <f aca="false">SUMIFS(Salary_Data!$C$2:$C$13,Salary_Data!$A$2:$A$13,A101,Salary_Data!$B$2:$B$13,D101)</f>
        <v>46310</v>
      </c>
      <c r="H101" s="8" t="n">
        <f aca="false">E101/G101</f>
        <v>0</v>
      </c>
      <c r="I101" s="8" t="n">
        <f aca="false">F101/G101</f>
        <v>0.572532930252645</v>
      </c>
      <c r="J101" s="9" t="n">
        <f aca="false">((5*G101-F101)/F101)*100</f>
        <v>773.312212416082</v>
      </c>
      <c r="K101" s="9" t="n">
        <f aca="false">((10*G101-F101)/F101)*100</f>
        <v>1646.62442483216</v>
      </c>
    </row>
    <row r="102" customFormat="false" ht="15" hidden="false" customHeight="true" outlineLevel="0" collapsed="false">
      <c r="A102" s="7" t="str">
        <f aca="false">Tuition_Data!A52</f>
        <v>Netherlands</v>
      </c>
      <c r="B102" s="7" t="str">
        <f aca="false">Tuition_Data!B52</f>
        <v>MSc Data Science and Artificial Intelligence Technology</v>
      </c>
      <c r="C102" s="7" t="str">
        <f aca="false">Tuition_Data!C52</f>
        <v>Delft University of Technology</v>
      </c>
      <c r="D102" s="7" t="s">
        <v>152</v>
      </c>
      <c r="E102" s="7" t="n">
        <f aca="false">Tuition_Data!D52</f>
        <v>58387</v>
      </c>
      <c r="F102" s="7" t="n">
        <f aca="false">Tuition_Data!G52</f>
        <v>92358</v>
      </c>
      <c r="G102" s="7" t="n">
        <f aca="false">SUMIFS(Salary_Data!$C$2:$C$13,Salary_Data!$A$2:$A$13,A102,Salary_Data!$B$2:$B$13,D102)</f>
        <v>42690</v>
      </c>
      <c r="H102" s="8" t="n">
        <f aca="false">E102/G102</f>
        <v>1.36769735301007</v>
      </c>
      <c r="I102" s="8" t="n">
        <f aca="false">F102/G102</f>
        <v>2.16345748418833</v>
      </c>
      <c r="J102" s="9" t="n">
        <f aca="false">((5*G102-F102)/F102)*100</f>
        <v>131.111544208406</v>
      </c>
      <c r="K102" s="9" t="n">
        <f aca="false">((10*G102-F102)/F102)*100</f>
        <v>362.223088416813</v>
      </c>
    </row>
    <row r="103" customFormat="false" ht="15" hidden="false" customHeight="true" outlineLevel="0" collapsed="false">
      <c r="A103" s="7" t="str">
        <f aca="false">Tuition_Data!A52</f>
        <v>Netherlands</v>
      </c>
      <c r="B103" s="7" t="str">
        <f aca="false">Tuition_Data!B52</f>
        <v>MSc Data Science and Artificial Intelligence Technology</v>
      </c>
      <c r="C103" s="7" t="str">
        <f aca="false">Tuition_Data!C52</f>
        <v>Delft University of Technology</v>
      </c>
      <c r="D103" s="7" t="s">
        <v>153</v>
      </c>
      <c r="E103" s="7" t="n">
        <f aca="false">Tuition_Data!D52</f>
        <v>58387</v>
      </c>
      <c r="F103" s="7" t="n">
        <f aca="false">Tuition_Data!G52</f>
        <v>92358</v>
      </c>
      <c r="G103" s="7" t="n">
        <f aca="false">SUMIFS(Salary_Data!$C$2:$C$13,Salary_Data!$A$2:$A$13,A103,Salary_Data!$B$2:$B$13,D103)</f>
        <v>50320</v>
      </c>
      <c r="H103" s="8" t="n">
        <f aca="false">E103/G103</f>
        <v>1.16031399046105</v>
      </c>
      <c r="I103" s="8" t="n">
        <f aca="false">F103/G103</f>
        <v>1.835413354531</v>
      </c>
      <c r="J103" s="9" t="n">
        <f aca="false">((5*G103-F103)/F103)*100</f>
        <v>172.418198748349</v>
      </c>
      <c r="K103" s="9" t="n">
        <f aca="false">((10*G103-F103)/F103)*100</f>
        <v>444.836397496698</v>
      </c>
    </row>
    <row r="104" customFormat="false" ht="15" hidden="false" customHeight="true" outlineLevel="0" collapsed="false">
      <c r="A104" s="7" t="str">
        <f aca="false">Tuition_Data!A53</f>
        <v>Netherlands</v>
      </c>
      <c r="B104" s="7" t="str">
        <f aca="false">Tuition_Data!B53</f>
        <v>MSc Data Science and Business Analytics</v>
      </c>
      <c r="C104" s="7" t="str">
        <f aca="false">Tuition_Data!C53</f>
        <v>University of Amsterdam</v>
      </c>
      <c r="D104" s="7" t="s">
        <v>152</v>
      </c>
      <c r="E104" s="7" t="n">
        <f aca="false">Tuition_Data!D53</f>
        <v>22664</v>
      </c>
      <c r="F104" s="7" t="n">
        <f aca="false">Tuition_Data!G53</f>
        <v>39577</v>
      </c>
      <c r="G104" s="7" t="n">
        <f aca="false">SUMIFS(Salary_Data!$C$2:$C$13,Salary_Data!$A$2:$A$13,A104,Salary_Data!$B$2:$B$13,D104)</f>
        <v>42690</v>
      </c>
      <c r="H104" s="8" t="n">
        <f aca="false">E104/G104</f>
        <v>0.530897165612556</v>
      </c>
      <c r="I104" s="8" t="n">
        <f aca="false">F104/G104</f>
        <v>0.927078941204029</v>
      </c>
      <c r="J104" s="9" t="n">
        <f aca="false">((5*G104-F104)/F104)*100</f>
        <v>439.328397806807</v>
      </c>
      <c r="K104" s="9" t="n">
        <f aca="false">((10*G104-F104)/F104)*100</f>
        <v>978.656795613614</v>
      </c>
    </row>
    <row r="105" customFormat="false" ht="15" hidden="false" customHeight="true" outlineLevel="0" collapsed="false">
      <c r="A105" s="7" t="str">
        <f aca="false">Tuition_Data!A53</f>
        <v>Netherlands</v>
      </c>
      <c r="B105" s="7" t="str">
        <f aca="false">Tuition_Data!B53</f>
        <v>MSc Data Science and Business Analytics</v>
      </c>
      <c r="C105" s="7" t="str">
        <f aca="false">Tuition_Data!C53</f>
        <v>University of Amsterdam</v>
      </c>
      <c r="D105" s="7" t="s">
        <v>153</v>
      </c>
      <c r="E105" s="7" t="n">
        <f aca="false">Tuition_Data!D53</f>
        <v>22664</v>
      </c>
      <c r="F105" s="7" t="n">
        <f aca="false">Tuition_Data!G53</f>
        <v>39577</v>
      </c>
      <c r="G105" s="7" t="n">
        <f aca="false">SUMIFS(Salary_Data!$C$2:$C$13,Salary_Data!$A$2:$A$13,A105,Salary_Data!$B$2:$B$13,D105)</f>
        <v>50320</v>
      </c>
      <c r="H105" s="8" t="n">
        <f aca="false">E105/G105</f>
        <v>0.450397456279809</v>
      </c>
      <c r="I105" s="8" t="n">
        <f aca="false">F105/G105</f>
        <v>0.786506359300477</v>
      </c>
      <c r="J105" s="9" t="n">
        <f aca="false">((5*G105-F105)/F105)*100</f>
        <v>535.722768274503</v>
      </c>
      <c r="K105" s="9" t="n">
        <f aca="false">((10*G105-F105)/F105)*100</f>
        <v>1171.44553654901</v>
      </c>
    </row>
    <row r="106" customFormat="false" ht="15" hidden="false" customHeight="true" outlineLevel="0" collapsed="false">
      <c r="A106" s="7" t="str">
        <f aca="false">Tuition_Data!A54</f>
        <v>Netherlands</v>
      </c>
      <c r="B106" s="7" t="str">
        <f aca="false">Tuition_Data!B54</f>
        <v>MSc Applied Data Science</v>
      </c>
      <c r="C106" s="7" t="str">
        <f aca="false">Tuition_Data!C54</f>
        <v>Utrecht University</v>
      </c>
      <c r="D106" s="7" t="s">
        <v>152</v>
      </c>
      <c r="E106" s="7" t="n">
        <f aca="false">Tuition_Data!D54</f>
        <v>28821</v>
      </c>
      <c r="F106" s="7" t="n">
        <f aca="false">Tuition_Data!G54</f>
        <v>45221</v>
      </c>
      <c r="G106" s="7" t="n">
        <f aca="false">SUMIFS(Salary_Data!$C$2:$C$13,Salary_Data!$A$2:$A$13,A106,Salary_Data!$B$2:$B$13,D106)</f>
        <v>42690</v>
      </c>
      <c r="H106" s="8" t="n">
        <f aca="false">E106/G106</f>
        <v>0.67512297962052</v>
      </c>
      <c r="I106" s="8" t="n">
        <f aca="false">F106/G106</f>
        <v>1.05928788943547</v>
      </c>
      <c r="J106" s="9" t="n">
        <f aca="false">((5*G106-F106)/F106)*100</f>
        <v>372.015214170408</v>
      </c>
      <c r="K106" s="9" t="n">
        <f aca="false">((10*G106-F106)/F106)*100</f>
        <v>844.030428340815</v>
      </c>
    </row>
    <row r="107" customFormat="false" ht="15" hidden="false" customHeight="true" outlineLevel="0" collapsed="false">
      <c r="A107" s="7" t="str">
        <f aca="false">Tuition_Data!A54</f>
        <v>Netherlands</v>
      </c>
      <c r="B107" s="7" t="str">
        <f aca="false">Tuition_Data!B54</f>
        <v>MSc Applied Data Science</v>
      </c>
      <c r="C107" s="7" t="str">
        <f aca="false">Tuition_Data!C54</f>
        <v>Utrecht University</v>
      </c>
      <c r="D107" s="7" t="s">
        <v>153</v>
      </c>
      <c r="E107" s="7" t="n">
        <f aca="false">Tuition_Data!D54</f>
        <v>28821</v>
      </c>
      <c r="F107" s="7" t="n">
        <f aca="false">Tuition_Data!G54</f>
        <v>45221</v>
      </c>
      <c r="G107" s="7" t="n">
        <f aca="false">SUMIFS(Salary_Data!$C$2:$C$13,Salary_Data!$A$2:$A$13,A107,Salary_Data!$B$2:$B$13,D107)</f>
        <v>50320</v>
      </c>
      <c r="H107" s="8" t="n">
        <f aca="false">E107/G107</f>
        <v>0.572754372019078</v>
      </c>
      <c r="I107" s="8" t="n">
        <f aca="false">F107/G107</f>
        <v>0.898668521462639</v>
      </c>
      <c r="J107" s="9" t="n">
        <f aca="false">((5*G107-F107)/F107)*100</f>
        <v>456.378673625086</v>
      </c>
      <c r="K107" s="9" t="n">
        <f aca="false">((10*G107-F107)/F107)*100</f>
        <v>1012.75734725017</v>
      </c>
    </row>
    <row r="108" customFormat="false" ht="15" hidden="false" customHeight="true" outlineLevel="0" collapsed="false">
      <c r="A108" s="7" t="str">
        <f aca="false">Tuition_Data!A55</f>
        <v>Netherlands</v>
      </c>
      <c r="B108" s="7" t="str">
        <f aca="false">Tuition_Data!B55</f>
        <v>MSc Statistics &amp; Data Science</v>
      </c>
      <c r="C108" s="7" t="str">
        <f aca="false">Tuition_Data!C55</f>
        <v>Leiden University</v>
      </c>
      <c r="D108" s="7" t="s">
        <v>152</v>
      </c>
      <c r="E108" s="7" t="n">
        <f aca="false">Tuition_Data!D55</f>
        <v>51251</v>
      </c>
      <c r="F108" s="7" t="n">
        <f aca="false">Tuition_Data!G55</f>
        <v>90310</v>
      </c>
      <c r="G108" s="7" t="n">
        <f aca="false">SUMIFS(Salary_Data!$C$2:$C$13,Salary_Data!$A$2:$A$13,A108,Salary_Data!$B$2:$B$13,D108)</f>
        <v>42690</v>
      </c>
      <c r="H108" s="8" t="n">
        <f aca="false">E108/G108</f>
        <v>1.20053876786133</v>
      </c>
      <c r="I108" s="8" t="n">
        <f aca="false">F108/G108</f>
        <v>2.11548371984071</v>
      </c>
      <c r="J108" s="9" t="n">
        <f aca="false">((5*G108-F108)/F108)*100</f>
        <v>136.352563392758</v>
      </c>
      <c r="K108" s="9" t="n">
        <f aca="false">((10*G108-F108)/F108)*100</f>
        <v>372.705126785517</v>
      </c>
    </row>
    <row r="109" customFormat="false" ht="15" hidden="false" customHeight="true" outlineLevel="0" collapsed="false">
      <c r="A109" s="7" t="str">
        <f aca="false">Tuition_Data!A55</f>
        <v>Netherlands</v>
      </c>
      <c r="B109" s="7" t="str">
        <f aca="false">Tuition_Data!B55</f>
        <v>MSc Statistics &amp; Data Science</v>
      </c>
      <c r="C109" s="7" t="str">
        <f aca="false">Tuition_Data!C55</f>
        <v>Leiden University</v>
      </c>
      <c r="D109" s="7" t="s">
        <v>153</v>
      </c>
      <c r="E109" s="7" t="n">
        <f aca="false">Tuition_Data!D55</f>
        <v>51251</v>
      </c>
      <c r="F109" s="7" t="n">
        <f aca="false">Tuition_Data!G55</f>
        <v>90310</v>
      </c>
      <c r="G109" s="7" t="n">
        <f aca="false">SUMIFS(Salary_Data!$C$2:$C$13,Salary_Data!$A$2:$A$13,A109,Salary_Data!$B$2:$B$13,D109)</f>
        <v>50320</v>
      </c>
      <c r="H109" s="8" t="n">
        <f aca="false">E109/G109</f>
        <v>1.01850158982512</v>
      </c>
      <c r="I109" s="8" t="n">
        <f aca="false">F109/G109</f>
        <v>1.79471383147854</v>
      </c>
      <c r="J109" s="9" t="n">
        <f aca="false">((5*G109-F109)/F109)*100</f>
        <v>178.595947292659</v>
      </c>
      <c r="K109" s="9" t="n">
        <f aca="false">((10*G109-F109)/F109)*100</f>
        <v>457.191894585317</v>
      </c>
    </row>
    <row r="110" customFormat="false" ht="15" hidden="false" customHeight="true" outlineLevel="0" collapsed="false">
      <c r="A110" s="7" t="str">
        <f aca="false">Tuition_Data!A56</f>
        <v>Netherlands</v>
      </c>
      <c r="B110" s="7" t="str">
        <f aca="false">Tuition_Data!B56</f>
        <v>MSc Business Analytics &amp; Management</v>
      </c>
      <c r="C110" s="7" t="str">
        <f aca="false">Tuition_Data!C56</f>
        <v>Erasmus University Rotterdam</v>
      </c>
      <c r="D110" s="7" t="s">
        <v>152</v>
      </c>
      <c r="E110" s="7" t="n">
        <f aca="false">Tuition_Data!D56</f>
        <v>29384</v>
      </c>
      <c r="F110" s="7" t="n">
        <f aca="false">Tuition_Data!G56</f>
        <v>48517</v>
      </c>
      <c r="G110" s="7" t="n">
        <f aca="false">SUMIFS(Salary_Data!$C$2:$C$13,Salary_Data!$A$2:$A$13,A110,Salary_Data!$B$2:$B$13,D110)</f>
        <v>42690</v>
      </c>
      <c r="H110" s="8" t="n">
        <f aca="false">E110/G110</f>
        <v>0.688311079878192</v>
      </c>
      <c r="I110" s="8" t="n">
        <f aca="false">F110/G110</f>
        <v>1.13649566643242</v>
      </c>
      <c r="J110" s="9" t="n">
        <f aca="false">((5*G110-F110)/F110)*100</f>
        <v>339.948883896366</v>
      </c>
      <c r="K110" s="9" t="n">
        <f aca="false">((10*G110-F110)/F110)*100</f>
        <v>779.897767792733</v>
      </c>
    </row>
    <row r="111" customFormat="false" ht="15" hidden="false" customHeight="true" outlineLevel="0" collapsed="false">
      <c r="A111" s="7" t="str">
        <f aca="false">Tuition_Data!A56</f>
        <v>Netherlands</v>
      </c>
      <c r="B111" s="7" t="str">
        <f aca="false">Tuition_Data!B56</f>
        <v>MSc Business Analytics &amp; Management</v>
      </c>
      <c r="C111" s="7" t="str">
        <f aca="false">Tuition_Data!C56</f>
        <v>Erasmus University Rotterdam</v>
      </c>
      <c r="D111" s="7" t="s">
        <v>153</v>
      </c>
      <c r="E111" s="7" t="n">
        <f aca="false">Tuition_Data!D56</f>
        <v>29384</v>
      </c>
      <c r="F111" s="7" t="n">
        <f aca="false">Tuition_Data!G56</f>
        <v>48517</v>
      </c>
      <c r="G111" s="7" t="n">
        <f aca="false">SUMIFS(Salary_Data!$C$2:$C$13,Salary_Data!$A$2:$A$13,A111,Salary_Data!$B$2:$B$13,D111)</f>
        <v>50320</v>
      </c>
      <c r="H111" s="8" t="n">
        <f aca="false">E111/G111</f>
        <v>0.583942766295708</v>
      </c>
      <c r="I111" s="8" t="n">
        <f aca="false">F111/G111</f>
        <v>0.964169316375199</v>
      </c>
      <c r="J111" s="9" t="n">
        <f aca="false">((5*G111-F111)/F111)*100</f>
        <v>418.581115897521</v>
      </c>
      <c r="K111" s="9" t="n">
        <f aca="false">((10*G111-F111)/F111)*100</f>
        <v>937.162231795041</v>
      </c>
    </row>
    <row r="112" customFormat="false" ht="15" hidden="false" customHeight="true" outlineLevel="0" collapsed="false">
      <c r="A112" s="7" t="str">
        <f aca="false">Tuition_Data!A57</f>
        <v>Netherlands</v>
      </c>
      <c r="B112" s="7" t="str">
        <f aca="false">Tuition_Data!B57</f>
        <v>MSc Data Science and Artificial Intelligence</v>
      </c>
      <c r="C112" s="7" t="str">
        <f aca="false">Tuition_Data!C57</f>
        <v>Eindhoven University of Technology</v>
      </c>
      <c r="D112" s="7" t="s">
        <v>152</v>
      </c>
      <c r="E112" s="7" t="n">
        <f aca="false">Tuition_Data!D57</f>
        <v>50225</v>
      </c>
      <c r="F112" s="7" t="n">
        <f aca="false">Tuition_Data!G57</f>
        <v>75281</v>
      </c>
      <c r="G112" s="7" t="n">
        <f aca="false">SUMIFS(Salary_Data!$C$2:$C$13,Salary_Data!$A$2:$A$13,A112,Salary_Data!$B$2:$B$13,D112)</f>
        <v>42690</v>
      </c>
      <c r="H112" s="8" t="n">
        <f aca="false">E112/G112</f>
        <v>1.17650503630827</v>
      </c>
      <c r="I112" s="8" t="n">
        <f aca="false">F112/G112</f>
        <v>1.76343405949871</v>
      </c>
      <c r="J112" s="9" t="n">
        <f aca="false">((5*G112-F112)/F112)*100</f>
        <v>183.537678829984</v>
      </c>
      <c r="K112" s="9" t="n">
        <f aca="false">((10*G112-F112)/F112)*100</f>
        <v>467.075357659967</v>
      </c>
    </row>
    <row r="113" customFormat="false" ht="15" hidden="false" customHeight="true" outlineLevel="0" collapsed="false">
      <c r="A113" s="7" t="str">
        <f aca="false">Tuition_Data!A57</f>
        <v>Netherlands</v>
      </c>
      <c r="B113" s="7" t="str">
        <f aca="false">Tuition_Data!B57</f>
        <v>MSc Data Science and Artificial Intelligence</v>
      </c>
      <c r="C113" s="7" t="str">
        <f aca="false">Tuition_Data!C57</f>
        <v>Eindhoven University of Technology</v>
      </c>
      <c r="D113" s="7" t="s">
        <v>153</v>
      </c>
      <c r="E113" s="7" t="n">
        <f aca="false">Tuition_Data!D57</f>
        <v>50225</v>
      </c>
      <c r="F113" s="7" t="n">
        <f aca="false">Tuition_Data!G57</f>
        <v>75281</v>
      </c>
      <c r="G113" s="7" t="n">
        <f aca="false">SUMIFS(Salary_Data!$C$2:$C$13,Salary_Data!$A$2:$A$13,A113,Salary_Data!$B$2:$B$13,D113)</f>
        <v>50320</v>
      </c>
      <c r="H113" s="8" t="n">
        <f aca="false">E113/G113</f>
        <v>0.998112082670906</v>
      </c>
      <c r="I113" s="8" t="n">
        <f aca="false">F113/G113</f>
        <v>1.4960453100159</v>
      </c>
      <c r="J113" s="9" t="n">
        <f aca="false">((5*G113-F113)/F113)*100</f>
        <v>234.214476428315</v>
      </c>
      <c r="K113" s="9" t="n">
        <f aca="false">((10*G113-F113)/F113)*100</f>
        <v>568.428952856631</v>
      </c>
    </row>
    <row r="114" customFormat="false" ht="15" hidden="false" customHeight="true" outlineLevel="0" collapsed="false">
      <c r="A114" s="7" t="str">
        <f aca="false">Tuition_Data!A58</f>
        <v>Netherlands</v>
      </c>
      <c r="B114" s="7" t="str">
        <f aca="false">Tuition_Data!B58</f>
        <v>MSc Data Science for Food and Health</v>
      </c>
      <c r="C114" s="7" t="str">
        <f aca="false">Tuition_Data!C58</f>
        <v>Wageningen University &amp; Research</v>
      </c>
      <c r="D114" s="7" t="s">
        <v>152</v>
      </c>
      <c r="E114" s="7" t="n">
        <f aca="false">Tuition_Data!D58</f>
        <v>50567</v>
      </c>
      <c r="F114" s="7" t="n">
        <f aca="false">Tuition_Data!G58</f>
        <v>84584</v>
      </c>
      <c r="G114" s="7" t="n">
        <f aca="false">SUMIFS(Salary_Data!$C$2:$C$13,Salary_Data!$A$2:$A$13,A114,Salary_Data!$B$2:$B$13,D114)</f>
        <v>42690</v>
      </c>
      <c r="H114" s="8" t="n">
        <f aca="false">E114/G114</f>
        <v>1.18451628015929</v>
      </c>
      <c r="I114" s="8" t="n">
        <f aca="false">F114/G114</f>
        <v>1.9813539470602</v>
      </c>
      <c r="J114" s="9" t="n">
        <f aca="false">((5*G114-F114)/F114)*100</f>
        <v>152.35269081623</v>
      </c>
      <c r="K114" s="9" t="n">
        <f aca="false">((10*G114-F114)/F114)*100</f>
        <v>404.70538163246</v>
      </c>
    </row>
    <row r="115" customFormat="false" ht="15" hidden="false" customHeight="true" outlineLevel="0" collapsed="false">
      <c r="A115" s="7" t="str">
        <f aca="false">Tuition_Data!A58</f>
        <v>Netherlands</v>
      </c>
      <c r="B115" s="7" t="str">
        <f aca="false">Tuition_Data!B58</f>
        <v>MSc Data Science for Food and Health</v>
      </c>
      <c r="C115" s="7" t="str">
        <f aca="false">Tuition_Data!C58</f>
        <v>Wageningen University &amp; Research</v>
      </c>
      <c r="D115" s="7" t="s">
        <v>153</v>
      </c>
      <c r="E115" s="7" t="n">
        <f aca="false">Tuition_Data!D58</f>
        <v>50567</v>
      </c>
      <c r="F115" s="7" t="n">
        <f aca="false">Tuition_Data!G58</f>
        <v>84584</v>
      </c>
      <c r="G115" s="7" t="n">
        <f aca="false">SUMIFS(Salary_Data!$C$2:$C$13,Salary_Data!$A$2:$A$13,A115,Salary_Data!$B$2:$B$13,D115)</f>
        <v>50320</v>
      </c>
      <c r="H115" s="8" t="n">
        <f aca="false">E115/G115</f>
        <v>1.00490858505564</v>
      </c>
      <c r="I115" s="8" t="n">
        <f aca="false">F115/G115</f>
        <v>1.68092209856916</v>
      </c>
      <c r="J115" s="9" t="n">
        <f aca="false">((5*G115-F115)/F115)*100</f>
        <v>197.455783599735</v>
      </c>
      <c r="K115" s="9" t="n">
        <f aca="false">((10*G115-F115)/F115)*100</f>
        <v>494.91156719947</v>
      </c>
    </row>
    <row r="116" customFormat="false" ht="15" hidden="false" customHeight="true" outlineLevel="0" collapsed="false">
      <c r="A116" s="7" t="str">
        <f aca="false">Tuition_Data!A59</f>
        <v>Netherlands</v>
      </c>
      <c r="B116" s="7" t="str">
        <f aca="false">Tuition_Data!B59</f>
        <v>MSc Computing Science — Data Science and Systems Complexity</v>
      </c>
      <c r="C116" s="7" t="str">
        <f aca="false">Tuition_Data!C59</f>
        <v>University of Groningen</v>
      </c>
      <c r="D116" s="7" t="s">
        <v>152</v>
      </c>
      <c r="E116" s="7" t="n">
        <f aca="false">Tuition_Data!D59</f>
        <v>56717</v>
      </c>
      <c r="F116" s="7" t="n">
        <f aca="false">Tuition_Data!G59</f>
        <v>81317</v>
      </c>
      <c r="G116" s="7" t="n">
        <f aca="false">SUMIFS(Salary_Data!$C$2:$C$13,Salary_Data!$A$2:$A$13,A116,Salary_Data!$B$2:$B$13,D116)</f>
        <v>42690</v>
      </c>
      <c r="H116" s="8" t="n">
        <f aca="false">E116/G116</f>
        <v>1.32857812133989</v>
      </c>
      <c r="I116" s="8" t="n">
        <f aca="false">F116/G116</f>
        <v>1.90482548606231</v>
      </c>
      <c r="J116" s="9" t="n">
        <f aca="false">((5*G116-F116)/F116)*100</f>
        <v>162.491237994515</v>
      </c>
      <c r="K116" s="9" t="n">
        <f aca="false">((10*G116-F116)/F116)*100</f>
        <v>424.982475989031</v>
      </c>
    </row>
    <row r="117" customFormat="false" ht="15" hidden="false" customHeight="true" outlineLevel="0" collapsed="false">
      <c r="A117" s="7" t="str">
        <f aca="false">Tuition_Data!A59</f>
        <v>Netherlands</v>
      </c>
      <c r="B117" s="7" t="str">
        <f aca="false">Tuition_Data!B59</f>
        <v>MSc Computing Science — Data Science and Systems Complexity</v>
      </c>
      <c r="C117" s="7" t="str">
        <f aca="false">Tuition_Data!C59</f>
        <v>University of Groningen</v>
      </c>
      <c r="D117" s="7" t="s">
        <v>153</v>
      </c>
      <c r="E117" s="7" t="n">
        <f aca="false">Tuition_Data!D59</f>
        <v>56717</v>
      </c>
      <c r="F117" s="7" t="n">
        <f aca="false">Tuition_Data!G59</f>
        <v>81317</v>
      </c>
      <c r="G117" s="7" t="n">
        <f aca="false">SUMIFS(Salary_Data!$C$2:$C$13,Salary_Data!$A$2:$A$13,A117,Salary_Data!$B$2:$B$13,D117)</f>
        <v>50320</v>
      </c>
      <c r="H117" s="8" t="n">
        <f aca="false">E117/G117</f>
        <v>1.12712639109698</v>
      </c>
      <c r="I117" s="8" t="n">
        <f aca="false">F117/G117</f>
        <v>1.61599761526232</v>
      </c>
      <c r="J117" s="9" t="n">
        <f aca="false">((5*G117-F117)/F117)*100</f>
        <v>209.40639718632</v>
      </c>
      <c r="K117" s="9" t="n">
        <f aca="false">((10*G117-F117)/F117)*100</f>
        <v>518.81279437264</v>
      </c>
    </row>
    <row r="118" customFormat="false" ht="15" hidden="false" customHeight="true" outlineLevel="0" collapsed="false">
      <c r="A118" s="7" t="str">
        <f aca="false">Tuition_Data!A60</f>
        <v>Netherlands</v>
      </c>
      <c r="B118" s="7" t="str">
        <f aca="false">Tuition_Data!B60</f>
        <v>MSc Business Analytics</v>
      </c>
      <c r="C118" s="7" t="str">
        <f aca="false">Tuition_Data!C60</f>
        <v>Vrije Universiteit Amsterdam</v>
      </c>
      <c r="D118" s="7" t="s">
        <v>152</v>
      </c>
      <c r="E118" s="7" t="n">
        <f aca="false">Tuition_Data!D60</f>
        <v>55009</v>
      </c>
      <c r="F118" s="7" t="n">
        <f aca="false">Tuition_Data!G60</f>
        <v>102569</v>
      </c>
      <c r="G118" s="7" t="n">
        <f aca="false">SUMIFS(Salary_Data!$C$2:$C$13,Salary_Data!$A$2:$A$13,A118,Salary_Data!$B$2:$B$13,D118)</f>
        <v>42690</v>
      </c>
      <c r="H118" s="8" t="n">
        <f aca="false">E118/G118</f>
        <v>1.28856875146404</v>
      </c>
      <c r="I118" s="8" t="n">
        <f aca="false">F118/G118</f>
        <v>2.40264698992738</v>
      </c>
      <c r="J118" s="9" t="n">
        <f aca="false">((5*G118-F118)/F118)*100</f>
        <v>108.103813042927</v>
      </c>
      <c r="K118" s="9" t="n">
        <f aca="false">((10*G118-F118)/F118)*100</f>
        <v>316.207626085854</v>
      </c>
    </row>
    <row r="119" customFormat="false" ht="15" hidden="false" customHeight="true" outlineLevel="0" collapsed="false">
      <c r="A119" s="7" t="str">
        <f aca="false">Tuition_Data!A60</f>
        <v>Netherlands</v>
      </c>
      <c r="B119" s="7" t="str">
        <f aca="false">Tuition_Data!B60</f>
        <v>MSc Business Analytics</v>
      </c>
      <c r="C119" s="7" t="str">
        <f aca="false">Tuition_Data!C60</f>
        <v>Vrije Universiteit Amsterdam</v>
      </c>
      <c r="D119" s="7" t="s">
        <v>153</v>
      </c>
      <c r="E119" s="7" t="n">
        <f aca="false">Tuition_Data!D60</f>
        <v>55009</v>
      </c>
      <c r="F119" s="7" t="n">
        <f aca="false">Tuition_Data!G60</f>
        <v>102569</v>
      </c>
      <c r="G119" s="7" t="n">
        <f aca="false">SUMIFS(Salary_Data!$C$2:$C$13,Salary_Data!$A$2:$A$13,A119,Salary_Data!$B$2:$B$13,D119)</f>
        <v>50320</v>
      </c>
      <c r="H119" s="8" t="n">
        <f aca="false">E119/G119</f>
        <v>1.09318362480127</v>
      </c>
      <c r="I119" s="8" t="n">
        <f aca="false">F119/G119</f>
        <v>2.0383346581876</v>
      </c>
      <c r="J119" s="9" t="n">
        <f aca="false">((5*G119-F119)/F119)*100</f>
        <v>145.298287006795</v>
      </c>
      <c r="K119" s="9" t="n">
        <f aca="false">((10*G119-F119)/F119)*100</f>
        <v>390.596574013591</v>
      </c>
    </row>
    <row r="120" customFormat="false" ht="15" hidden="false" customHeight="true" outlineLevel="0" collapsed="false">
      <c r="A120" s="7" t="str">
        <f aca="false">Tuition_Data!A61</f>
        <v>Netherlands</v>
      </c>
      <c r="B120" s="7" t="str">
        <f aca="false">Tuition_Data!B61</f>
        <v>MSc Applied Mathematics — Mathematics of Data Science &amp; AI</v>
      </c>
      <c r="C120" s="7" t="str">
        <f aca="false">Tuition_Data!C61</f>
        <v>University of Twente</v>
      </c>
      <c r="D120" s="7" t="s">
        <v>152</v>
      </c>
      <c r="E120" s="7" t="n">
        <f aca="false">Tuition_Data!D61</f>
        <v>49428</v>
      </c>
      <c r="F120" s="7" t="n">
        <f aca="false">Tuition_Data!G61</f>
        <v>85263</v>
      </c>
      <c r="G120" s="7" t="n">
        <f aca="false">SUMIFS(Salary_Data!$C$2:$C$13,Salary_Data!$A$2:$A$13,A120,Salary_Data!$B$2:$B$13,D120)</f>
        <v>42690</v>
      </c>
      <c r="H120" s="8" t="n">
        <f aca="false">E120/G120</f>
        <v>1.15783555867885</v>
      </c>
      <c r="I120" s="8" t="n">
        <f aca="false">F120/G120</f>
        <v>1.99725931131413</v>
      </c>
      <c r="J120" s="9" t="n">
        <f aca="false">((5*G120-F120)/F120)*100</f>
        <v>150.343056190845</v>
      </c>
      <c r="K120" s="9" t="n">
        <f aca="false">((10*G120-F120)/F120)*100</f>
        <v>400.68611238169</v>
      </c>
    </row>
    <row r="121" customFormat="false" ht="15" hidden="false" customHeight="true" outlineLevel="0" collapsed="false">
      <c r="A121" s="7" t="str">
        <f aca="false">Tuition_Data!A61</f>
        <v>Netherlands</v>
      </c>
      <c r="B121" s="7" t="str">
        <f aca="false">Tuition_Data!B61</f>
        <v>MSc Applied Mathematics — Mathematics of Data Science &amp; AI</v>
      </c>
      <c r="C121" s="7" t="str">
        <f aca="false">Tuition_Data!C61</f>
        <v>University of Twente</v>
      </c>
      <c r="D121" s="7" t="s">
        <v>153</v>
      </c>
      <c r="E121" s="7" t="n">
        <f aca="false">Tuition_Data!D61</f>
        <v>49428</v>
      </c>
      <c r="F121" s="7" t="n">
        <f aca="false">Tuition_Data!G61</f>
        <v>85263</v>
      </c>
      <c r="G121" s="7" t="n">
        <f aca="false">SUMIFS(Salary_Data!$C$2:$C$13,Salary_Data!$A$2:$A$13,A121,Salary_Data!$B$2:$B$13,D121)</f>
        <v>50320</v>
      </c>
      <c r="H121" s="8" t="n">
        <f aca="false">E121/G121</f>
        <v>0.982273449920509</v>
      </c>
      <c r="I121" s="8" t="n">
        <f aca="false">F121/G121</f>
        <v>1.69441573926868</v>
      </c>
      <c r="J121" s="9" t="n">
        <f aca="false">((5*G121-F121)/F121)*100</f>
        <v>195.086966210431</v>
      </c>
      <c r="K121" s="9" t="n">
        <f aca="false">((10*G121-F121)/F121)*100</f>
        <v>490.173932420863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14" min="3" style="1" width="16"/>
  </cols>
  <sheetData>
    <row r="1" customFormat="false" ht="23.25" hidden="false" customHeight="true" outlineLevel="0" collapsed="false">
      <c r="A1" s="5" t="s">
        <v>33</v>
      </c>
      <c r="B1" s="5" t="s">
        <v>150</v>
      </c>
      <c r="C1" s="5" t="s">
        <v>159</v>
      </c>
      <c r="D1" s="5" t="s">
        <v>160</v>
      </c>
      <c r="E1" s="5" t="s">
        <v>161</v>
      </c>
      <c r="F1" s="5" t="s">
        <v>162</v>
      </c>
      <c r="G1" s="5" t="s">
        <v>163</v>
      </c>
      <c r="H1" s="5" t="s">
        <v>164</v>
      </c>
      <c r="I1" s="5" t="s">
        <v>165</v>
      </c>
      <c r="J1" s="5" t="s">
        <v>166</v>
      </c>
      <c r="K1" s="5" t="s">
        <v>167</v>
      </c>
      <c r="L1" s="5" t="s">
        <v>168</v>
      </c>
      <c r="M1" s="5" t="s">
        <v>169</v>
      </c>
      <c r="N1" s="5" t="s">
        <v>170</v>
      </c>
    </row>
    <row r="2" customFormat="false" ht="15" hidden="false" customHeight="true" outlineLevel="0" collapsed="false">
      <c r="A2" s="7" t="s">
        <v>40</v>
      </c>
      <c r="B2" s="7" t="s">
        <v>152</v>
      </c>
      <c r="C2" s="8" t="n">
        <f aca="false" t="array" ref="C2:C2">MEDIAN(IF(((ROI_Calculations!$A$2:$A$121=A2)*(ROI_Calculations!$D$2:$D$121=B2)),ROI_Calculations!$H$2:$H$121))</f>
        <v>1.44044467972472</v>
      </c>
      <c r="D2" s="8" t="n">
        <f aca="false" t="array" ref="D2:D2">PERCENTILE(IF(((ROI_Calculations!$A$2:$A$121=A2)*(ROI_Calculations!$D$2:$D$121=B2)),ROI_Calculations!$H$2:$H$121),0.25)</f>
        <v>1.31659608258338</v>
      </c>
      <c r="E2" s="8" t="n">
        <f aca="false" t="array" ref="E2:E2">PERCENTILE(IF(((ROI_Calculations!$A$2:$A$121=A2)*(ROI_Calculations!$D$2:$D$121=B2)),ROI_Calculations!$H$2:$H$121),0.75)</f>
        <v>1.67152814540321</v>
      </c>
      <c r="F2" s="8" t="n">
        <f aca="false" t="array" ref="F2:F2">MEDIAN(IF(((ROI_Calculations!$A$2:$A$121=A2)*(ROI_Calculations!$D$2:$D$121=B2)),ROI_Calculations!$I$2:$I$121))</f>
        <v>2.53775366154932</v>
      </c>
      <c r="G2" s="8" t="n">
        <f aca="false" t="array" ref="G2:G2">PERCENTILE(IF(((ROI_Calculations!$A$2:$A$121=A2)*(ROI_Calculations!$D$2:$D$121=B2)),ROI_Calculations!$I$2:$I$121),0.25)</f>
        <v>2.2208046585495</v>
      </c>
      <c r="H2" s="8" t="n">
        <f aca="false" t="array" ref="H2:H2">PERCENTILE(IF(((ROI_Calculations!$A$2:$A$121=A2)*(ROI_Calculations!$D$2:$D$121=B2)),ROI_Calculations!$I$2:$I$121),0.75)</f>
        <v>2.68211575789659</v>
      </c>
      <c r="I2" s="9" t="n">
        <f aca="false" t="array" ref="I2:I2">MEDIAN(IF(((ROI_Calculations!$A$2:$A$121=A2)*(ROI_Calculations!$D$2:$D$121=B2)),ROI_Calculations!$J$2:$J$121))</f>
        <v>97.5182668161478</v>
      </c>
      <c r="J2" s="9" t="n">
        <f aca="false" t="array" ref="J2:J2">PERCENTILE(IF(((ROI_Calculations!$A$2:$A$121=A2)*(ROI_Calculations!$D$2:$D$121=B2)),ROI_Calculations!$J$2:$J$121),0.25)</f>
        <v>86.4201131269229</v>
      </c>
      <c r="K2" s="9" t="n">
        <f aca="false" t="array" ref="K2:K2">PERCENTILE(IF(((ROI_Calculations!$A$2:$A$121=A2)*(ROI_Calculations!$D$2:$D$121=B2)),ROI_Calculations!$J$2:$J$121),0.75)</f>
        <v>125.498195159456</v>
      </c>
      <c r="L2" s="9" t="n">
        <f aca="false" t="array" ref="L2:L2">MEDIAN(IF(((ROI_Calculations!$A$2:$A$121=A2)*(ROI_Calculations!$D$2:$D$121=B2)),ROI_Calculations!$K$2:$K$121))</f>
        <v>295.036533632296</v>
      </c>
      <c r="M2" s="9" t="n">
        <f aca="false" t="array" ref="M2:M2">PERCENTILE(IF(((ROI_Calculations!$A$2:$A$121=A2)*(ROI_Calculations!$D$2:$D$121=B2)),ROI_Calculations!$K$2:$K$121),0.25)</f>
        <v>272.840226253846</v>
      </c>
      <c r="N2" s="9" t="n">
        <f aca="false" t="array" ref="N2:N2">PERCENTILE(IF(((ROI_Calculations!$A$2:$A$121=A2)*(ROI_Calculations!$D$2:$D$121=B2)),ROI_Calculations!$K$2:$K$121),0.75)</f>
        <v>350.996390318912</v>
      </c>
    </row>
    <row r="3" customFormat="false" ht="15" hidden="false" customHeight="true" outlineLevel="0" collapsed="false">
      <c r="A3" s="7" t="s">
        <v>40</v>
      </c>
      <c r="B3" s="7" t="s">
        <v>153</v>
      </c>
      <c r="C3" s="8" t="n">
        <f aca="false" t="array" ref="C3:C3">MEDIAN(IF(((ROI_Calculations!$A$2:$A$121=A3)*(ROI_Calculations!$D$2:$D$121=B3)),ROI_Calculations!$H$2:$H$121))</f>
        <v>1.18674129534055</v>
      </c>
      <c r="D3" s="8" t="n">
        <f aca="false" t="array" ref="D3:D3">PERCENTILE(IF(((ROI_Calculations!$A$2:$A$121=A3)*(ROI_Calculations!$D$2:$D$121=B3)),ROI_Calculations!$H$2:$H$121),0.25)</f>
        <v>1.0847059678709</v>
      </c>
      <c r="E3" s="8" t="n">
        <f aca="false" t="array" ref="E3:E3">PERCENTILE(IF(((ROI_Calculations!$A$2:$A$121=A3)*(ROI_Calculations!$D$2:$D$121=B3)),ROI_Calculations!$H$2:$H$121),0.75)</f>
        <v>1.37712437304645</v>
      </c>
      <c r="F3" s="8" t="n">
        <f aca="false" t="array" ref="F3:F3">MEDIAN(IF(((ROI_Calculations!$A$2:$A$121=A3)*(ROI_Calculations!$D$2:$D$121=B3)),ROI_Calculations!$I$2:$I$121))</f>
        <v>2.09078287417315</v>
      </c>
      <c r="G3" s="8" t="n">
        <f aca="false" t="array" ref="G3:G3">PERCENTILE(IF(((ROI_Calculations!$A$2:$A$121=A3)*(ROI_Calculations!$D$2:$D$121=B3)),ROI_Calculations!$I$2:$I$121),0.25)</f>
        <v>1.8296576288435</v>
      </c>
      <c r="H3" s="8" t="n">
        <f aca="false" t="array" ref="H3:H3">PERCENTILE(IF(((ROI_Calculations!$A$2:$A$121=A3)*(ROI_Calculations!$D$2:$D$121=B3)),ROI_Calculations!$I$2:$I$121),0.75)</f>
        <v>2.20971868866759</v>
      </c>
      <c r="I3" s="9" t="n">
        <f aca="false" t="array" ref="I3:I3">MEDIAN(IF(((ROI_Calculations!$A$2:$A$121=A3)*(ROI_Calculations!$D$2:$D$121=B3)),ROI_Calculations!$J$2:$J$121))</f>
        <v>139.744026521065</v>
      </c>
      <c r="J3" s="9" t="n">
        <f aca="false" t="array" ref="J3:J3">PERCENTILE(IF(((ROI_Calculations!$A$2:$A$121=A3)*(ROI_Calculations!$D$2:$D$121=B3)),ROI_Calculations!$J$2:$J$121),0.25)</f>
        <v>126.273292419894</v>
      </c>
      <c r="K3" s="9" t="n">
        <f aca="false" t="array" ref="K3:K3">PERCENTILE(IF(((ROI_Calculations!$A$2:$A$121=A3)*(ROI_Calculations!$D$2:$D$121=B3)),ROI_Calculations!$J$2:$J$121),0.75)</f>
        <v>173.705547097992</v>
      </c>
      <c r="L3" s="9" t="n">
        <f aca="false" t="array" ref="L3:L3">MEDIAN(IF(((ROI_Calculations!$A$2:$A$121=A3)*(ROI_Calculations!$D$2:$D$121=B3)),ROI_Calculations!$K$2:$K$121))</f>
        <v>379.488053042129</v>
      </c>
      <c r="M3" s="9" t="n">
        <f aca="false" t="array" ref="M3:M3">PERCENTILE(IF(((ROI_Calculations!$A$2:$A$121=A3)*(ROI_Calculations!$D$2:$D$121=B3)),ROI_Calculations!$K$2:$K$121),0.25)</f>
        <v>352.546584839788</v>
      </c>
      <c r="N3" s="9" t="n">
        <f aca="false" t="array" ref="N3:N3">PERCENTILE(IF(((ROI_Calculations!$A$2:$A$121=A3)*(ROI_Calculations!$D$2:$D$121=B3)),ROI_Calculations!$K$2:$K$121),0.75)</f>
        <v>447.411094195984</v>
      </c>
    </row>
    <row r="4" customFormat="false" ht="15" hidden="false" customHeight="true" outlineLevel="0" collapsed="false">
      <c r="A4" s="7" t="s">
        <v>56</v>
      </c>
      <c r="B4" s="7" t="s">
        <v>152</v>
      </c>
      <c r="C4" s="8" t="n">
        <f aca="false" t="array" ref="C4:C4">MEDIAN(IF(((ROI_Calculations!$A$2:$A$121=A4)*(ROI_Calculations!$D$2:$D$121=B4)),ROI_Calculations!$H$2:$H$121))</f>
        <v>1.6337361252037</v>
      </c>
      <c r="D4" s="8" t="n">
        <f aca="false" t="array" ref="D4:D4">PERCENTILE(IF(((ROI_Calculations!$A$2:$A$121=A4)*(ROI_Calculations!$D$2:$D$121=B4)),ROI_Calculations!$H$2:$H$121),0.25)</f>
        <v>1.55301632690711</v>
      </c>
      <c r="E4" s="8" t="n">
        <f aca="false" t="array" ref="E4:E4">PERCENTILE(IF(((ROI_Calculations!$A$2:$A$121=A4)*(ROI_Calculations!$D$2:$D$121=B4)),ROI_Calculations!$H$2:$H$121),0.75)</f>
        <v>1.67005657534668</v>
      </c>
      <c r="F4" s="8" t="n">
        <f aca="false" t="array" ref="F4:F4">MEDIAN(IF(((ROI_Calculations!$A$2:$A$121=A4)*(ROI_Calculations!$D$2:$D$121=B4)),ROI_Calculations!$I$2:$I$121))</f>
        <v>2.45263352089291</v>
      </c>
      <c r="G4" s="8" t="n">
        <f aca="false" t="array" ref="G4:G4">PERCENTILE(IF(((ROI_Calculations!$A$2:$A$121=A4)*(ROI_Calculations!$D$2:$D$121=B4)),ROI_Calculations!$I$2:$I$121),0.25)</f>
        <v>2.34284198874643</v>
      </c>
      <c r="H4" s="8" t="n">
        <f aca="false" t="array" ref="H4:H4">PERCENTILE(IF(((ROI_Calculations!$A$2:$A$121=A4)*(ROI_Calculations!$D$2:$D$121=B4)),ROI_Calculations!$I$2:$I$121),0.75)</f>
        <v>2.55305476124589</v>
      </c>
      <c r="I4" s="9" t="n">
        <f aca="false" t="array" ref="I4:I4">MEDIAN(IF(((ROI_Calculations!$A$2:$A$121=A4)*(ROI_Calculations!$D$2:$D$121=B4)),ROI_Calculations!$J$2:$J$121))</f>
        <v>103.866957303269</v>
      </c>
      <c r="J4" s="9" t="n">
        <f aca="false" t="array" ref="J4:J4">PERCENTILE(IF(((ROI_Calculations!$A$2:$A$121=A4)*(ROI_Calculations!$D$2:$D$121=B4)),ROI_Calculations!$J$2:$J$121),0.25)</f>
        <v>95.8457712918086</v>
      </c>
      <c r="K4" s="9" t="n">
        <f aca="false" t="array" ref="K4:K4">PERCENTILE(IF(((ROI_Calculations!$A$2:$A$121=A4)*(ROI_Calculations!$D$2:$D$121=B4)),ROI_Calculations!$J$2:$J$121),0.75)</f>
        <v>113.505872327915</v>
      </c>
      <c r="L4" s="9" t="n">
        <f aca="false" t="array" ref="L4:L4">MEDIAN(IF(((ROI_Calculations!$A$2:$A$121=A4)*(ROI_Calculations!$D$2:$D$121=B4)),ROI_Calculations!$K$2:$K$121))</f>
        <v>307.733914606539</v>
      </c>
      <c r="M4" s="9" t="n">
        <f aca="false" t="array" ref="M4:M4">PERCENTILE(IF(((ROI_Calculations!$A$2:$A$121=A4)*(ROI_Calculations!$D$2:$D$121=B4)),ROI_Calculations!$K$2:$K$121),0.25)</f>
        <v>291.691542583617</v>
      </c>
      <c r="N4" s="9" t="n">
        <f aca="false" t="array" ref="N4:N4">PERCENTILE(IF(((ROI_Calculations!$A$2:$A$121=A4)*(ROI_Calculations!$D$2:$D$121=B4)),ROI_Calculations!$K$2:$K$121),0.75)</f>
        <v>327.011744655831</v>
      </c>
    </row>
    <row r="5" customFormat="false" ht="15" hidden="false" customHeight="true" outlineLevel="0" collapsed="false">
      <c r="A5" s="7" t="s">
        <v>56</v>
      </c>
      <c r="B5" s="7" t="s">
        <v>153</v>
      </c>
      <c r="C5" s="8" t="n">
        <f aca="false" t="array" ref="C5:C5">MEDIAN(IF(((ROI_Calculations!$A$2:$A$121=A5)*(ROI_Calculations!$D$2:$D$121=B5)),ROI_Calculations!$H$2:$H$121))</f>
        <v>1.20079549820335</v>
      </c>
      <c r="D5" s="8" t="n">
        <f aca="false" t="array" ref="D5:D5">PERCENTILE(IF(((ROI_Calculations!$A$2:$A$121=A5)*(ROI_Calculations!$D$2:$D$121=B5)),ROI_Calculations!$H$2:$H$121),0.25)</f>
        <v>1.14146647381862</v>
      </c>
      <c r="E5" s="8" t="n">
        <f aca="false" t="array" ref="E5:E5">PERCENTILE(IF(((ROI_Calculations!$A$2:$A$121=A5)*(ROI_Calculations!$D$2:$D$121=B5)),ROI_Calculations!$H$2:$H$121),0.75)</f>
        <v>1.22749101674614</v>
      </c>
      <c r="F5" s="8" t="n">
        <f aca="false" t="array" ref="F5:F5">MEDIAN(IF(((ROI_Calculations!$A$2:$A$121=A5)*(ROI_Calculations!$D$2:$D$121=B5)),ROI_Calculations!$I$2:$I$121))</f>
        <v>1.8026848064363</v>
      </c>
      <c r="G5" s="8" t="n">
        <f aca="false" t="array" ref="G5:G5">PERCENTILE(IF(((ROI_Calculations!$A$2:$A$121=A5)*(ROI_Calculations!$D$2:$D$121=B5)),ROI_Calculations!$I$2:$I$121),0.25)</f>
        <v>1.72198806752695</v>
      </c>
      <c r="H5" s="8" t="n">
        <f aca="false" t="array" ref="H5:H5">PERCENTILE(IF(((ROI_Calculations!$A$2:$A$121=A5)*(ROI_Calculations!$D$2:$D$121=B5)),ROI_Calculations!$I$2:$I$121),0.75)</f>
        <v>1.87649438405388</v>
      </c>
      <c r="I5" s="9" t="n">
        <f aca="false" t="array" ref="I5:I5">MEDIAN(IF(((ROI_Calculations!$A$2:$A$121=A5)*(ROI_Calculations!$D$2:$D$121=B5)),ROI_Calculations!$J$2:$J$121))</f>
        <v>177.370137862816</v>
      </c>
      <c r="J5" s="9" t="n">
        <f aca="false" t="array" ref="J5:J5">PERCENTILE(IF(((ROI_Calculations!$A$2:$A$121=A5)*(ROI_Calculations!$D$2:$D$121=B5)),ROI_Calculations!$J$2:$J$121),0.25)</f>
        <v>166.456954582641</v>
      </c>
      <c r="K5" s="9" t="n">
        <f aca="false" t="array" ref="K5:K5">PERCENTILE(IF(((ROI_Calculations!$A$2:$A$121=A5)*(ROI_Calculations!$D$2:$D$121=B5)),ROI_Calculations!$J$2:$J$121),0.75)</f>
        <v>190.484314012789</v>
      </c>
      <c r="L5" s="9" t="n">
        <f aca="false" t="array" ref="L5:L5">MEDIAN(IF(((ROI_Calculations!$A$2:$A$121=A5)*(ROI_Calculations!$D$2:$D$121=B5)),ROI_Calculations!$K$2:$K$121))</f>
        <v>454.740275725632</v>
      </c>
      <c r="M5" s="9" t="n">
        <f aca="false" t="array" ref="M5:M5">PERCENTILE(IF(((ROI_Calculations!$A$2:$A$121=A5)*(ROI_Calculations!$D$2:$D$121=B5)),ROI_Calculations!$K$2:$K$121),0.25)</f>
        <v>432.913909165282</v>
      </c>
      <c r="N5" s="9" t="n">
        <f aca="false" t="array" ref="N5:N5">PERCENTILE(IF(((ROI_Calculations!$A$2:$A$121=A5)*(ROI_Calculations!$D$2:$D$121=B5)),ROI_Calculations!$K$2:$K$121),0.75)</f>
        <v>480.968628025577</v>
      </c>
    </row>
    <row r="6" customFormat="false" ht="15" hidden="false" customHeight="true" outlineLevel="0" collapsed="false">
      <c r="A6" s="7" t="s">
        <v>74</v>
      </c>
      <c r="B6" s="7" t="s">
        <v>152</v>
      </c>
      <c r="C6" s="8" t="n">
        <f aca="false" t="array" ref="C6:C6">MEDIAN(IF(((ROI_Calculations!$A$2:$A$121=A6)*(ROI_Calculations!$D$2:$D$121=B6)),ROI_Calculations!$H$2:$H$121))</f>
        <v>0.997236157562245</v>
      </c>
      <c r="D6" s="8" t="n">
        <f aca="false" t="array" ref="D6:D6">PERCENTILE(IF(((ROI_Calculations!$A$2:$A$121=A6)*(ROI_Calculations!$D$2:$D$121=B6)),ROI_Calculations!$H$2:$H$121),0.25)</f>
        <v>0.943956707543664</v>
      </c>
      <c r="E6" s="8" t="n">
        <f aca="false" t="array" ref="E6:E6">PERCENTILE(IF(((ROI_Calculations!$A$2:$A$121=A6)*(ROI_Calculations!$D$2:$D$121=B6)),ROI_Calculations!$H$2:$H$121),0.75)</f>
        <v>1.28253901895206</v>
      </c>
      <c r="F6" s="8" t="n">
        <f aca="false" t="array" ref="F6:F6">MEDIAN(IF(((ROI_Calculations!$A$2:$A$121=A6)*(ROI_Calculations!$D$2:$D$121=B6)),ROI_Calculations!$I$2:$I$121))</f>
        <v>1.61387495354887</v>
      </c>
      <c r="G6" s="8" t="n">
        <f aca="false" t="array" ref="G6:G6">PERCENTILE(IF(((ROI_Calculations!$A$2:$A$121=A6)*(ROI_Calculations!$D$2:$D$121=B6)),ROI_Calculations!$I$2:$I$121),0.25)</f>
        <v>1.43924772389446</v>
      </c>
      <c r="H6" s="8" t="n">
        <f aca="false" t="array" ref="H6:H6">PERCENTILE(IF(((ROI_Calculations!$A$2:$A$121=A6)*(ROI_Calculations!$D$2:$D$121=B6)),ROI_Calculations!$I$2:$I$121),0.75)</f>
        <v>1.73727819583798</v>
      </c>
      <c r="I6" s="9" t="n">
        <f aca="false" t="array" ref="I6:I6">MEDIAN(IF(((ROI_Calculations!$A$2:$A$121=A6)*(ROI_Calculations!$D$2:$D$121=B6)),ROI_Calculations!$J$2:$J$121))</f>
        <v>209.966385362846</v>
      </c>
      <c r="J6" s="9" t="n">
        <f aca="false" t="array" ref="J6:J6">PERCENTILE(IF(((ROI_Calculations!$A$2:$A$121=A6)*(ROI_Calculations!$D$2:$D$121=B6)),ROI_Calculations!$J$2:$J$121),0.25)</f>
        <v>187.849298868785</v>
      </c>
      <c r="K6" s="9" t="n">
        <f aca="false" t="array" ref="K6:K6">PERCENTILE(IF(((ROI_Calculations!$A$2:$A$121=A6)*(ROI_Calculations!$D$2:$D$121=B6)),ROI_Calculations!$J$2:$J$121),0.75)</f>
        <v>247.588618277919</v>
      </c>
      <c r="L6" s="9" t="n">
        <f aca="false" t="array" ref="L6:L6">MEDIAN(IF(((ROI_Calculations!$A$2:$A$121=A6)*(ROI_Calculations!$D$2:$D$121=B6)),ROI_Calculations!$K$2:$K$121))</f>
        <v>519.932770725692</v>
      </c>
      <c r="M6" s="9" t="n">
        <f aca="false" t="array" ref="M6:M6">PERCENTILE(IF(((ROI_Calculations!$A$2:$A$121=A6)*(ROI_Calculations!$D$2:$D$121=B6)),ROI_Calculations!$K$2:$K$121),0.25)</f>
        <v>475.698597737569</v>
      </c>
      <c r="N6" s="9" t="n">
        <f aca="false" t="array" ref="N6:N6">PERCENTILE(IF(((ROI_Calculations!$A$2:$A$121=A6)*(ROI_Calculations!$D$2:$D$121=B6)),ROI_Calculations!$K$2:$K$121),0.75)</f>
        <v>595.177236555837</v>
      </c>
    </row>
    <row r="7" customFormat="false" ht="15" hidden="false" customHeight="true" outlineLevel="0" collapsed="false">
      <c r="A7" s="7" t="s">
        <v>74</v>
      </c>
      <c r="B7" s="7" t="s">
        <v>153</v>
      </c>
      <c r="C7" s="8" t="n">
        <f aca="false" t="array" ref="C7:C7">MEDIAN(IF(((ROI_Calculations!$A$2:$A$121=A7)*(ROI_Calculations!$D$2:$D$121=B7)),ROI_Calculations!$H$2:$H$121))</f>
        <v>0.84428582664779</v>
      </c>
      <c r="D7" s="8" t="n">
        <f aca="false" t="array" ref="D7:D7">PERCENTILE(IF(((ROI_Calculations!$A$2:$A$121=A7)*(ROI_Calculations!$D$2:$D$121=B7)),ROI_Calculations!$H$2:$H$121),0.25)</f>
        <v>0.799178071417335</v>
      </c>
      <c r="E7" s="8" t="n">
        <f aca="false" t="array" ref="E7:E7">PERCENTILE(IF(((ROI_Calculations!$A$2:$A$121=A7)*(ROI_Calculations!$D$2:$D$121=B7)),ROI_Calculations!$H$2:$H$121),0.75)</f>
        <v>1.08583058046248</v>
      </c>
      <c r="F7" s="8" t="n">
        <f aca="false" t="array" ref="F7:F7">MEDIAN(IF(((ROI_Calculations!$A$2:$A$121=A7)*(ROI_Calculations!$D$2:$D$121=B7)),ROI_Calculations!$I$2:$I$121))</f>
        <v>1.36634812018248</v>
      </c>
      <c r="G7" s="8" t="n">
        <f aca="false" t="array" ref="G7:G7">PERCENTILE(IF(((ROI_Calculations!$A$2:$A$121=A7)*(ROI_Calculations!$D$2:$D$121=B7)),ROI_Calculations!$I$2:$I$121),0.25)</f>
        <v>1.21850420795973</v>
      </c>
      <c r="H7" s="8" t="n">
        <f aca="false" t="array" ref="H7:H7">PERCENTILE(IF(((ROI_Calculations!$A$2:$A$121=A7)*(ROI_Calculations!$D$2:$D$121=B7)),ROI_Calculations!$I$2:$I$121),0.75)</f>
        <v>1.47082448481988</v>
      </c>
      <c r="I7" s="9" t="n">
        <f aca="false" t="array" ref="I7:I7">MEDIAN(IF(((ROI_Calculations!$A$2:$A$121=A7)*(ROI_Calculations!$D$2:$D$121=B7)),ROI_Calculations!$J$2:$J$121))</f>
        <v>266.119716044521</v>
      </c>
      <c r="J7" s="9" t="n">
        <f aca="false" t="array" ref="J7:J7">PERCENTILE(IF(((ROI_Calculations!$A$2:$A$121=A7)*(ROI_Calculations!$D$2:$D$121=B7)),ROI_Calculations!$J$2:$J$121),0.25)</f>
        <v>239.995910982695</v>
      </c>
      <c r="K7" s="9" t="n">
        <f aca="false" t="array" ref="K7:K7">PERCENTILE(IF(((ROI_Calculations!$A$2:$A$121=A7)*(ROI_Calculations!$D$2:$D$121=B7)),ROI_Calculations!$J$2:$J$121),0.75)</f>
        <v>310.557570864498</v>
      </c>
      <c r="L7" s="9" t="n">
        <f aca="false" t="array" ref="L7:L7">MEDIAN(IF(((ROI_Calculations!$A$2:$A$121=A7)*(ROI_Calculations!$D$2:$D$121=B7)),ROI_Calculations!$K$2:$K$121))</f>
        <v>632.239432089043</v>
      </c>
      <c r="M7" s="9" t="n">
        <f aca="false" t="array" ref="M7:M7">PERCENTILE(IF(((ROI_Calculations!$A$2:$A$121=A7)*(ROI_Calculations!$D$2:$D$121=B7)),ROI_Calculations!$K$2:$K$121),0.25)</f>
        <v>579.99182196539</v>
      </c>
      <c r="N7" s="9" t="n">
        <f aca="false" t="array" ref="N7:N7">PERCENTILE(IF(((ROI_Calculations!$A$2:$A$121=A7)*(ROI_Calculations!$D$2:$D$121=B7)),ROI_Calculations!$K$2:$K$121),0.75)</f>
        <v>721.115141728996</v>
      </c>
    </row>
    <row r="8" customFormat="false" ht="15" hidden="false" customHeight="true" outlineLevel="0" collapsed="false">
      <c r="A8" s="7" t="s">
        <v>95</v>
      </c>
      <c r="B8" s="7" t="s">
        <v>152</v>
      </c>
      <c r="C8" s="8" t="n">
        <f aca="false" t="array" ref="C8:C8">MEDIAN(IF(((ROI_Calculations!$A$2:$A$121=A8)*(ROI_Calculations!$D$2:$D$121=B8)),ROI_Calculations!$H$2:$H$121))</f>
        <v>1.70386266094421</v>
      </c>
      <c r="D8" s="8" t="n">
        <f aca="false" t="array" ref="D8:D8">PERCENTILE(IF(((ROI_Calculations!$A$2:$A$121=A8)*(ROI_Calculations!$D$2:$D$121=B8)),ROI_Calculations!$H$2:$H$121),0.25)</f>
        <v>1.47575657532739</v>
      </c>
      <c r="E8" s="8" t="n">
        <f aca="false" t="array" ref="E8:E8">PERCENTILE(IF(((ROI_Calculations!$A$2:$A$121=A8)*(ROI_Calculations!$D$2:$D$121=B8)),ROI_Calculations!$H$2:$H$121),0.75)</f>
        <v>1.83921536260592</v>
      </c>
      <c r="F8" s="8" t="n">
        <f aca="false" t="array" ref="F8:F8">MEDIAN(IF(((ROI_Calculations!$A$2:$A$121=A8)*(ROI_Calculations!$D$2:$D$121=B8)),ROI_Calculations!$I$2:$I$121))</f>
        <v>2.86282601518653</v>
      </c>
      <c r="G8" s="8" t="n">
        <f aca="false" t="array" ref="G8:G8">PERCENTILE(IF(((ROI_Calculations!$A$2:$A$121=A8)*(ROI_Calculations!$D$2:$D$121=B8)),ROI_Calculations!$I$2:$I$121),0.25)</f>
        <v>2.63779024980742</v>
      </c>
      <c r="H8" s="8" t="n">
        <f aca="false" t="array" ref="H8:H8">PERCENTILE(IF(((ROI_Calculations!$A$2:$A$121=A8)*(ROI_Calculations!$D$2:$D$121=B8)),ROI_Calculations!$I$2:$I$121),0.75)</f>
        <v>2.99461318366898</v>
      </c>
      <c r="I8" s="9" t="n">
        <f aca="false" t="array" ref="I8:I8">MEDIAN(IF(((ROI_Calculations!$A$2:$A$121=A8)*(ROI_Calculations!$D$2:$D$121=B8)),ROI_Calculations!$J$2:$J$121))</f>
        <v>74.6541000289663</v>
      </c>
      <c r="J8" s="9" t="n">
        <f aca="false" t="array" ref="J8:J8">PERCENTILE(IF(((ROI_Calculations!$A$2:$A$121=A8)*(ROI_Calculations!$D$2:$D$121=B8)),ROI_Calculations!$J$2:$J$121),0.25)</f>
        <v>67.0179158872381</v>
      </c>
      <c r="K8" s="9" t="n">
        <f aca="false" t="array" ref="K8:K8">PERCENTILE(IF(((ROI_Calculations!$A$2:$A$121=A8)*(ROI_Calculations!$D$2:$D$121=B8)),ROI_Calculations!$J$2:$J$121),0.75)</f>
        <v>89.562144318868</v>
      </c>
      <c r="L8" s="9" t="n">
        <f aca="false" t="array" ref="L8:L8">MEDIAN(IF(((ROI_Calculations!$A$2:$A$121=A8)*(ROI_Calculations!$D$2:$D$121=B8)),ROI_Calculations!$K$2:$K$121))</f>
        <v>249.308200057933</v>
      </c>
      <c r="M8" s="9" t="n">
        <f aca="false" t="array" ref="M8:M8">PERCENTILE(IF(((ROI_Calculations!$A$2:$A$121=A8)*(ROI_Calculations!$D$2:$D$121=B8)),ROI_Calculations!$K$2:$K$121),0.25)</f>
        <v>234.035831774476</v>
      </c>
      <c r="N8" s="9" t="n">
        <f aca="false" t="array" ref="N8:N8">PERCENTILE(IF(((ROI_Calculations!$A$2:$A$121=A8)*(ROI_Calculations!$D$2:$D$121=B8)),ROI_Calculations!$K$2:$K$121),0.75)</f>
        <v>279.124288637736</v>
      </c>
    </row>
    <row r="9" customFormat="false" ht="15" hidden="false" customHeight="true" outlineLevel="0" collapsed="false">
      <c r="A9" s="7" t="s">
        <v>95</v>
      </c>
      <c r="B9" s="7" t="s">
        <v>153</v>
      </c>
      <c r="C9" s="8" t="n">
        <f aca="false" t="array" ref="C9:C9">MEDIAN(IF(((ROI_Calculations!$A$2:$A$121=A9)*(ROI_Calculations!$D$2:$D$121=B9)),ROI_Calculations!$H$2:$H$121))</f>
        <v>1.57092126623377</v>
      </c>
      <c r="D9" s="8" t="n">
        <f aca="false" t="array" ref="D9:D9">PERCENTILE(IF(((ROI_Calculations!$A$2:$A$121=A9)*(ROI_Calculations!$D$2:$D$121=B9)),ROI_Calculations!$H$2:$H$121),0.25)</f>
        <v>1.36061282467532</v>
      </c>
      <c r="E9" s="8" t="n">
        <f aca="false" t="array" ref="E9:E9">PERCENTILE(IF(((ROI_Calculations!$A$2:$A$121=A9)*(ROI_Calculations!$D$2:$D$121=B9)),ROI_Calculations!$H$2:$H$121),0.75)</f>
        <v>1.6957132711039</v>
      </c>
      <c r="F9" s="8" t="n">
        <f aca="false" t="array" ref="F9:F9">MEDIAN(IF(((ROI_Calculations!$A$2:$A$121=A9)*(ROI_Calculations!$D$2:$D$121=B9)),ROI_Calculations!$I$2:$I$121))</f>
        <v>2.63945819805195</v>
      </c>
      <c r="G9" s="8" t="n">
        <f aca="false" t="array" ref="G9:G9">PERCENTILE(IF(((ROI_Calculations!$A$2:$A$121=A9)*(ROI_Calculations!$D$2:$D$121=B9)),ROI_Calculations!$I$2:$I$121),0.25)</f>
        <v>2.43198051948052</v>
      </c>
      <c r="H9" s="8" t="n">
        <f aca="false" t="array" ref="H9:H9">PERCENTILE(IF(((ROI_Calculations!$A$2:$A$121=A9)*(ROI_Calculations!$D$2:$D$121=B9)),ROI_Calculations!$I$2:$I$121),0.75)</f>
        <v>2.76096286525974</v>
      </c>
      <c r="I9" s="9" t="n">
        <f aca="false" t="array" ref="I9:I9">MEDIAN(IF(((ROI_Calculations!$A$2:$A$121=A9)*(ROI_Calculations!$D$2:$D$121=B9)),ROI_Calculations!$J$2:$J$121))</f>
        <v>89.4344458991407</v>
      </c>
      <c r="J9" s="9" t="n">
        <f aca="false" t="array" ref="J9:J9">PERCENTILE(IF(((ROI_Calculations!$A$2:$A$121=A9)*(ROI_Calculations!$D$2:$D$121=B9)),ROI_Calculations!$J$2:$J$121),0.25)</f>
        <v>81.152039065106</v>
      </c>
      <c r="K9" s="9" t="n">
        <f aca="false" t="array" ref="K9:K9">PERCENTILE(IF(((ROI_Calculations!$A$2:$A$121=A9)*(ROI_Calculations!$D$2:$D$121=B9)),ROI_Calculations!$J$2:$J$121),0.75)</f>
        <v>105.604104149528</v>
      </c>
      <c r="L9" s="9" t="n">
        <f aca="false" t="array" ref="L9:L9">MEDIAN(IF(((ROI_Calculations!$A$2:$A$121=A9)*(ROI_Calculations!$D$2:$D$121=B9)),ROI_Calculations!$K$2:$K$121))</f>
        <v>278.868891798282</v>
      </c>
      <c r="M9" s="9" t="n">
        <f aca="false" t="array" ref="M9:M9">PERCENTILE(IF(((ROI_Calculations!$A$2:$A$121=A9)*(ROI_Calculations!$D$2:$D$121=B9)),ROI_Calculations!$K$2:$K$121),0.25)</f>
        <v>262.304078130212</v>
      </c>
      <c r="N9" s="9" t="n">
        <f aca="false" t="array" ref="N9:N9">PERCENTILE(IF(((ROI_Calculations!$A$2:$A$121=A9)*(ROI_Calculations!$D$2:$D$121=B9)),ROI_Calculations!$K$2:$K$121),0.75)</f>
        <v>311.208208299056</v>
      </c>
    </row>
    <row r="10" customFormat="false" ht="15" hidden="false" customHeight="true" outlineLevel="0" collapsed="false">
      <c r="A10" s="7" t="s">
        <v>110</v>
      </c>
      <c r="B10" s="7" t="s">
        <v>152</v>
      </c>
      <c r="C10" s="8" t="n">
        <f aca="false" t="array" ref="C10:C10">MEDIAN(IF(((ROI_Calculations!$A$2:$A$121=A10)*(ROI_Calculations!$D$2:$D$121=B10)),ROI_Calculations!$H$2:$H$121))</f>
        <v>0</v>
      </c>
      <c r="D10" s="8" t="n">
        <f aca="false" t="array" ref="D10:D10">PERCENTILE(IF(((ROI_Calculations!$A$2:$A$121=A10)*(ROI_Calculations!$D$2:$D$121=B10)),ROI_Calculations!$H$2:$H$121),0.25)</f>
        <v>0</v>
      </c>
      <c r="E10" s="8" t="n">
        <f aca="false" t="array" ref="E10:E10">PERCENTILE(IF(((ROI_Calculations!$A$2:$A$121=A10)*(ROI_Calculations!$D$2:$D$121=B10)),ROI_Calculations!$H$2:$H$121),0.75)</f>
        <v>0.123586225191116</v>
      </c>
      <c r="F10" s="8" t="n">
        <f aca="false" t="array" ref="F10:F10">MEDIAN(IF(((ROI_Calculations!$A$2:$A$121=A10)*(ROI_Calculations!$D$2:$D$121=B10)),ROI_Calculations!$I$2:$I$121))</f>
        <v>0.725082595799069</v>
      </c>
      <c r="G10" s="8" t="n">
        <f aca="false" t="array" ref="G10:G10">PERCENTILE(IF(((ROI_Calculations!$A$2:$A$121=A10)*(ROI_Calculations!$D$2:$D$121=B10)),ROI_Calculations!$I$2:$I$121),0.25)</f>
        <v>0.663449248800251</v>
      </c>
      <c r="H10" s="8" t="n">
        <f aca="false" t="array" ref="H10:H10">PERCENTILE(IF(((ROI_Calculations!$A$2:$A$121=A10)*(ROI_Calculations!$D$2:$D$121=B10)),ROI_Calculations!$I$2:$I$121),0.75)</f>
        <v>0.846203004798997</v>
      </c>
      <c r="I10" s="9" t="n">
        <f aca="false" t="array" ref="I10:I10">MEDIAN(IF(((ROI_Calculations!$A$2:$A$121=A10)*(ROI_Calculations!$D$2:$D$121=B10)),ROI_Calculations!$J$2:$J$121))</f>
        <v>589.57661223268</v>
      </c>
      <c r="J10" s="9" t="n">
        <f aca="false" t="array" ref="J10:J10">PERCENTILE(IF(((ROI_Calculations!$A$2:$A$121=A10)*(ROI_Calculations!$D$2:$D$121=B10)),ROI_Calculations!$J$2:$J$121),0.25)</f>
        <v>491.013353660348</v>
      </c>
      <c r="K10" s="9" t="n">
        <f aca="false" t="array" ref="K10:K10">PERCENTILE(IF(((ROI_Calculations!$A$2:$A$121=A10)*(ROI_Calculations!$D$2:$D$121=B10)),ROI_Calculations!$J$2:$J$121),0.75)</f>
        <v>654.093322511358</v>
      </c>
      <c r="L10" s="9" t="n">
        <f aca="false" t="array" ref="L10:L10">MEDIAN(IF(((ROI_Calculations!$A$2:$A$121=A10)*(ROI_Calculations!$D$2:$D$121=B10)),ROI_Calculations!$K$2:$K$121))</f>
        <v>1279.15322446536</v>
      </c>
      <c r="M10" s="9" t="n">
        <f aca="false" t="array" ref="M10:M10">PERCENTILE(IF(((ROI_Calculations!$A$2:$A$121=A10)*(ROI_Calculations!$D$2:$D$121=B10)),ROI_Calculations!$K$2:$K$121),0.25)</f>
        <v>1082.0267073207</v>
      </c>
      <c r="N10" s="9" t="n">
        <f aca="false" t="array" ref="N10:N10">PERCENTILE(IF(((ROI_Calculations!$A$2:$A$121=A10)*(ROI_Calculations!$D$2:$D$121=B10)),ROI_Calculations!$K$2:$K$121),0.75)</f>
        <v>1408.18664502272</v>
      </c>
    </row>
    <row r="11" customFormat="false" ht="15" hidden="false" customHeight="true" outlineLevel="0" collapsed="false">
      <c r="A11" s="7" t="s">
        <v>110</v>
      </c>
      <c r="B11" s="7" t="s">
        <v>153</v>
      </c>
      <c r="C11" s="8" t="n">
        <f aca="false" t="array" ref="C11:C11">MEDIAN(IF(((ROI_Calculations!$A$2:$A$121=A11)*(ROI_Calculations!$D$2:$D$121=B11)),ROI_Calculations!$H$2:$H$121))</f>
        <v>0</v>
      </c>
      <c r="D11" s="8" t="n">
        <f aca="false" t="array" ref="D11:D11">PERCENTILE(IF(((ROI_Calculations!$A$2:$A$121=A11)*(ROI_Calculations!$D$2:$D$121=B11)),ROI_Calculations!$H$2:$H$121),0.25)</f>
        <v>0</v>
      </c>
      <c r="E11" s="8" t="n">
        <f aca="false" t="array" ref="E11:E11">PERCENTILE(IF(((ROI_Calculations!$A$2:$A$121=A11)*(ROI_Calculations!$D$2:$D$121=B11)),ROI_Calculations!$H$2:$H$121),0.75)</f>
        <v>0.110661844094148</v>
      </c>
      <c r="F11" s="8" t="n">
        <f aca="false" t="array" ref="F11:F11">MEDIAN(IF(((ROI_Calculations!$A$2:$A$121=A11)*(ROI_Calculations!$D$2:$D$121=B11)),ROI_Calculations!$I$2:$I$121))</f>
        <v>0.649255020513928</v>
      </c>
      <c r="G11" s="8" t="n">
        <f aca="false" t="array" ref="G11:G11">PERCENTILE(IF(((ROI_Calculations!$A$2:$A$121=A11)*(ROI_Calculations!$D$2:$D$121=B11)),ROI_Calculations!$I$2:$I$121),0.25)</f>
        <v>0.594067156121788</v>
      </c>
      <c r="H11" s="8" t="n">
        <f aca="false" t="array" ref="H11:H11">PERCENTILE(IF(((ROI_Calculations!$A$2:$A$121=A11)*(ROI_Calculations!$D$2:$D$121=B11)),ROI_Calculations!$I$2:$I$121),0.75)</f>
        <v>0.757708918160225</v>
      </c>
      <c r="I11" s="9" t="n">
        <f aca="false" t="array" ref="I11:I11">MEDIAN(IF(((ROI_Calculations!$A$2:$A$121=A11)*(ROI_Calculations!$D$2:$D$121=B11)),ROI_Calculations!$J$2:$J$121))</f>
        <v>670.113413376792</v>
      </c>
      <c r="J11" s="9" t="n">
        <f aca="false" t="array" ref="J11:J11">PERCENTILE(IF(((ROI_Calculations!$A$2:$A$121=A11)*(ROI_Calculations!$D$2:$D$121=B11)),ROI_Calculations!$J$2:$J$121),0.25)</f>
        <v>560.038787662737</v>
      </c>
      <c r="K11" s="9" t="n">
        <f aca="false" t="array" ref="K11:K11">PERCENTILE(IF(((ROI_Calculations!$A$2:$A$121=A11)*(ROI_Calculations!$D$2:$D$121=B11)),ROI_Calculations!$J$2:$J$121),0.75)</f>
        <v>742.165137711939</v>
      </c>
      <c r="L11" s="9" t="n">
        <f aca="false" t="array" ref="L11:L11">MEDIAN(IF(((ROI_Calculations!$A$2:$A$121=A11)*(ROI_Calculations!$D$2:$D$121=B11)),ROI_Calculations!$K$2:$K$121))</f>
        <v>1440.22682675358</v>
      </c>
      <c r="M11" s="9" t="n">
        <f aca="false" t="array" ref="M11:M11">PERCENTILE(IF(((ROI_Calculations!$A$2:$A$121=A11)*(ROI_Calculations!$D$2:$D$121=B11)),ROI_Calculations!$K$2:$K$121),0.25)</f>
        <v>1220.07757532547</v>
      </c>
      <c r="N11" s="9" t="n">
        <f aca="false" t="array" ref="N11:N11">PERCENTILE(IF(((ROI_Calculations!$A$2:$A$121=A11)*(ROI_Calculations!$D$2:$D$121=B11)),ROI_Calculations!$K$2:$K$121),0.75)</f>
        <v>1584.33027542388</v>
      </c>
    </row>
    <row r="12" customFormat="false" ht="15" hidden="false" customHeight="true" outlineLevel="0" collapsed="false">
      <c r="A12" s="7" t="s">
        <v>129</v>
      </c>
      <c r="B12" s="7" t="s">
        <v>152</v>
      </c>
      <c r="C12" s="8" t="n">
        <f aca="false" t="array" ref="C12:C12">MEDIAN(IF(((ROI_Calculations!$A$2:$A$121=A12)*(ROI_Calculations!$D$2:$D$121=B12)),ROI_Calculations!$H$2:$H$121))</f>
        <v>1.18051065823378</v>
      </c>
      <c r="D12" s="8" t="n">
        <f aca="false" t="array" ref="D12:D12">PERCENTILE(IF(((ROI_Calculations!$A$2:$A$121=A12)*(ROI_Calculations!$D$2:$D$121=B12)),ROI_Calculations!$H$2:$H$121),0.25)</f>
        <v>0.805692199578356</v>
      </c>
      <c r="E12" s="8" t="n">
        <f aca="false" t="array" ref="E12:E12">PERCENTILE(IF(((ROI_Calculations!$A$2:$A$121=A12)*(ROI_Calculations!$D$2:$D$121=B12)),ROI_Calculations!$H$2:$H$121),0.75)</f>
        <v>1.26656125556336</v>
      </c>
      <c r="F12" s="8" t="n">
        <f aca="false" t="array" ref="F12:F12">MEDIAN(IF(((ROI_Calculations!$A$2:$A$121=A12)*(ROI_Calculations!$D$2:$D$121=B12)),ROI_Calculations!$I$2:$I$121))</f>
        <v>1.94308971656126</v>
      </c>
      <c r="G12" s="8" t="n">
        <f aca="false" t="array" ref="G12:G12">PERCENTILE(IF(((ROI_Calculations!$A$2:$A$121=A12)*(ROI_Calculations!$D$2:$D$121=B12)),ROI_Calculations!$I$2:$I$121),0.25)</f>
        <v>1.29323026469899</v>
      </c>
      <c r="H12" s="8" t="n">
        <f aca="false" t="array" ref="H12:H12">PERCENTILE(IF(((ROI_Calculations!$A$2:$A$121=A12)*(ROI_Calculations!$D$2:$D$121=B12)),ROI_Calculations!$I$2:$I$121),0.75)</f>
        <v>2.08592761770907</v>
      </c>
      <c r="I12" s="9" t="n">
        <f aca="false" t="array" ref="I12:I12">MEDIAN(IF(((ROI_Calculations!$A$2:$A$121=A12)*(ROI_Calculations!$D$2:$D$121=B12)),ROI_Calculations!$J$2:$J$121))</f>
        <v>157.421964405373</v>
      </c>
      <c r="J12" s="9" t="n">
        <f aca="false" t="array" ref="J12:J12">PERCENTILE(IF(((ROI_Calculations!$A$2:$A$121=A12)*(ROI_Calculations!$D$2:$D$121=B12)),ROI_Calculations!$J$2:$J$121),0.25)</f>
        <v>139.85018659228</v>
      </c>
      <c r="K12" s="9" t="n">
        <f aca="false" t="array" ref="K12:K12">PERCENTILE(IF(((ROI_Calculations!$A$2:$A$121=A12)*(ROI_Calculations!$D$2:$D$121=B12)),ROI_Calculations!$J$2:$J$121),0.75)</f>
        <v>300.846082629771</v>
      </c>
      <c r="L12" s="9" t="n">
        <f aca="false" t="array" ref="L12:L12">MEDIAN(IF(((ROI_Calculations!$A$2:$A$121=A12)*(ROI_Calculations!$D$2:$D$121=B12)),ROI_Calculations!$K$2:$K$121))</f>
        <v>414.843928810745</v>
      </c>
      <c r="M12" s="9" t="n">
        <f aca="false" t="array" ref="M12:M12">PERCENTILE(IF(((ROI_Calculations!$A$2:$A$121=A12)*(ROI_Calculations!$D$2:$D$121=B12)),ROI_Calculations!$K$2:$K$121),0.25)</f>
        <v>379.70037318456</v>
      </c>
      <c r="N12" s="9" t="n">
        <f aca="false" t="array" ref="N12:N12">PERCENTILE(IF(((ROI_Calculations!$A$2:$A$121=A12)*(ROI_Calculations!$D$2:$D$121=B12)),ROI_Calculations!$K$2:$K$121),0.75)</f>
        <v>701.692165259541</v>
      </c>
    </row>
    <row r="13" customFormat="false" ht="15" hidden="false" customHeight="true" outlineLevel="0" collapsed="false">
      <c r="A13" s="7" t="s">
        <v>129</v>
      </c>
      <c r="B13" s="7" t="s">
        <v>153</v>
      </c>
      <c r="C13" s="8" t="n">
        <f aca="false" t="array" ref="C13:C13">MEDIAN(IF(((ROI_Calculations!$A$2:$A$121=A13)*(ROI_Calculations!$D$2:$D$121=B13)),ROI_Calculations!$H$2:$H$121))</f>
        <v>1.00151033386328</v>
      </c>
      <c r="D13" s="8" t="n">
        <f aca="false" t="array" ref="D13:D13">PERCENTILE(IF(((ROI_Calculations!$A$2:$A$121=A13)*(ROI_Calculations!$D$2:$D$121=B13)),ROI_Calculations!$H$2:$H$121),0.25)</f>
        <v>0.683525437201908</v>
      </c>
      <c r="E13" s="8" t="n">
        <f aca="false" t="array" ref="E13:E13">PERCENTILE(IF(((ROI_Calculations!$A$2:$A$121=A13)*(ROI_Calculations!$D$2:$D$121=B13)),ROI_Calculations!$H$2:$H$121),0.75)</f>
        <v>1.07451311605723</v>
      </c>
      <c r="F13" s="8" t="n">
        <f aca="false" t="array" ref="F13:F13">MEDIAN(IF(((ROI_Calculations!$A$2:$A$121=A13)*(ROI_Calculations!$D$2:$D$121=B13)),ROI_Calculations!$I$2:$I$121))</f>
        <v>1.64845985691574</v>
      </c>
      <c r="G13" s="8" t="n">
        <f aca="false" t="array" ref="G13:G13">PERCENTILE(IF(((ROI_Calculations!$A$2:$A$121=A13)*(ROI_Calculations!$D$2:$D$121=B13)),ROI_Calculations!$I$2:$I$121),0.25)</f>
        <v>1.09713831478537</v>
      </c>
      <c r="H13" s="8" t="n">
        <f aca="false" t="array" ref="H13:H13">PERCENTILE(IF(((ROI_Calculations!$A$2:$A$121=A13)*(ROI_Calculations!$D$2:$D$121=B13)),ROI_Calculations!$I$2:$I$121),0.75)</f>
        <v>1.76963930842607</v>
      </c>
      <c r="I13" s="9" t="n">
        <f aca="false" t="array" ref="I13:I13">MEDIAN(IF(((ROI_Calculations!$A$2:$A$121=A13)*(ROI_Calculations!$D$2:$D$121=B13)),ROI_Calculations!$J$2:$J$121))</f>
        <v>203.431090393028</v>
      </c>
      <c r="J13" s="9" t="n">
        <f aca="false" t="array" ref="J13:J13">PERCENTILE(IF(((ROI_Calculations!$A$2:$A$121=A13)*(ROI_Calculations!$D$2:$D$121=B13)),ROI_Calculations!$J$2:$J$121),0.25)</f>
        <v>182.718702022102</v>
      </c>
      <c r="K13" s="9" t="n">
        <f aca="false" t="array" ref="K13:K13">PERCENTILE(IF(((ROI_Calculations!$A$2:$A$121=A13)*(ROI_Calculations!$D$2:$D$121=B13)),ROI_Calculations!$J$2:$J$121),0.75)</f>
        <v>372.489456030219</v>
      </c>
      <c r="L13" s="9" t="n">
        <f aca="false" t="array" ref="L13:L13">MEDIAN(IF(((ROI_Calculations!$A$2:$A$121=A13)*(ROI_Calculations!$D$2:$D$121=B13)),ROI_Calculations!$K$2:$K$121))</f>
        <v>506.862180786055</v>
      </c>
      <c r="M13" s="9" t="n">
        <f aca="false" t="array" ref="M13:M13">PERCENTILE(IF(((ROI_Calculations!$A$2:$A$121=A13)*(ROI_Calculations!$D$2:$D$121=B13)),ROI_Calculations!$K$2:$K$121),0.25)</f>
        <v>465.437404044204</v>
      </c>
      <c r="N13" s="9" t="n">
        <f aca="false" t="array" ref="N13:N13">PERCENTILE(IF(((ROI_Calculations!$A$2:$A$121=A13)*(ROI_Calculations!$D$2:$D$121=B13)),ROI_Calculations!$K$2:$K$121),0.75)</f>
        <v>844.978912060438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2026-08-10T20:20:26Z</dcterms:created>
  <dc:creator>openpyxl</dc:creator>
  <dc:description/>
  <dc:language>en-US</dc:language>
  <cp:lastModifiedBy/>
  <dcterms:modified xsi:type="dcterms:W3CDTF">2026-08-12T15:45:58Z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